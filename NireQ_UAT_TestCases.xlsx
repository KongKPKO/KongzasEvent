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📊 Summary" sheetId="2" state="visible" r:id="rId4"/>
    <sheet name="🟣 Owner WS" sheetId="3" state="visible" r:id="rId5"/>
    <sheet name="🔴 POS+Queue" sheetId="4" state="visible" r:id="rId6"/>
    <sheet name="🔵 Customer" sheetId="5" state="visible" r:id="rId7"/>
    <sheet name="🟢 Aut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<sst xmlns="http://schemas.openxmlformats.org/spreadsheetml/2006/main" count="538" uniqueCount="391">
  <si>
    <t xml:space="preserve">NireQ — UAT Manual Test Cases</t>
  </si>
  <si>
    <t xml:space="preserve">User Acceptance Testing — v1.0  |  Booth + Queue + POS Platform for Cosplay / Artist Events</t>
  </si>
  <si>
    <t xml:space="preserve">Project</t>
  </si>
  <si>
    <t xml:space="preserve">NireQ — EventQueueSocial</t>
  </si>
  <si>
    <t xml:space="preserve">Version</t>
  </si>
  <si>
    <t xml:space="preserve">v1.0 (Pre-Launch UAT)</t>
  </si>
  <si>
    <t xml:space="preserve">Prepared By</t>
  </si>
  <si>
    <t xml:space="preserve">Kong (Owner)</t>
  </si>
  <si>
    <t xml:space="preserve">Tech Stack</t>
  </si>
  <si>
    <t xml:space="preserve">React + Vite + Supabase + Firebase</t>
  </si>
  <si>
    <t xml:space="preserve">Test Environment</t>
  </si>
  <si>
    <t xml:space="preserve">Local / Staging</t>
  </si>
  <si>
    <t xml:space="preserve">Scope</t>
  </si>
  <si>
    <t xml:space="preserve">Owner WS · POS+Queue · Customer · Auth</t>
  </si>
  <si>
    <t xml:space="preserve">Total Test Cases</t>
  </si>
  <si>
    <t xml:space="preserve">STATUS LEGEND</t>
  </si>
  <si>
    <t xml:space="preserve">⬜  Not Tested</t>
  </si>
  <si>
    <t xml:space="preserve">ยังไม่ได้ทดสอบ</t>
  </si>
  <si>
    <t xml:space="preserve">✅  Pass</t>
  </si>
  <si>
    <t xml:space="preserve">ผ่านตามที่คาดหวัง</t>
  </si>
  <si>
    <t xml:space="preserve">❌  Fail</t>
  </si>
  <si>
    <t xml:space="preserve">ไม่ผ่าน / พบ bug</t>
  </si>
  <si>
    <t xml:space="preserve">⚠️  Blocked</t>
  </si>
  <si>
    <t xml:space="preserve">ติด blocker / ทำต่อไม่ได้</t>
  </si>
  <si>
    <t xml:space="preserve">⏭️  Skip</t>
  </si>
  <si>
    <t xml:space="preserve">ข้ามโดยตั้งใจ (out of scope)</t>
  </si>
  <si>
    <t xml:space="preserve">MODULE INDEX</t>
  </si>
  <si>
    <t xml:space="preserve">🟣 Owner WS</t>
  </si>
  <si>
    <t xml:space="preserve">Owner / Manager Workspace</t>
  </si>
  <si>
    <t xml:space="preserve">Profile · Events · Products · Team · Dashboard</t>
  </si>
  <si>
    <t xml:space="preserve">🔴 POS+Queue</t>
  </si>
  <si>
    <t xml:space="preserve">Live Operation (POS + Queue Staff)</t>
  </si>
  <si>
    <t xml:space="preserve">Queue flow · POS checkout · Promotions</t>
  </si>
  <si>
    <t xml:space="preserve">🔵 Customer</t>
  </si>
  <si>
    <t xml:space="preserve">Customer-Facing Pages</t>
  </si>
  <si>
    <t xml:space="preserve">Discovery · Menu · Queue join/track</t>
  </si>
  <si>
    <t xml:space="preserve">🟢 Auth</t>
  </si>
  <si>
    <t xml:space="preserve">Auth &amp; Access Control</t>
  </si>
  <si>
    <t xml:space="preserve">Login · Roles · Invite · Reset Password</t>
  </si>
  <si>
    <t xml:space="preserve">NireQ UAT — Progress Summary</t>
  </si>
  <si>
    <t xml:space="preserve">Module</t>
  </si>
  <si>
    <t xml:space="preserve">Total TC</t>
  </si>
  <si>
    <t xml:space="preserve">✅ Pass</t>
  </si>
  <si>
    <t xml:space="preserve">❌ Fail</t>
  </si>
  <si>
    <t xml:space="preserve">⚠️ Blocked</t>
  </si>
  <si>
    <t xml:space="preserve">⏭️ Skip</t>
  </si>
  <si>
    <t xml:space="preserve">⬜ Remaining</t>
  </si>
  <si>
    <t xml:space="preserve">Pass Rate</t>
  </si>
  <si>
    <t xml:space="preserve">🟣 Owner Workspace</t>
  </si>
  <si>
    <t xml:space="preserve">🔴 POS + Queue</t>
  </si>
  <si>
    <t xml:space="preserve">🔵 Customer Side</t>
  </si>
  <si>
    <t xml:space="preserve">🟢 Auth &amp; Access</t>
  </si>
  <si>
    <t xml:space="preserve">TOTAL</t>
  </si>
  <si>
    <t xml:space="preserve">📝 วิธีใช้: กรอก Pass/Fail/Blocked/Skip ใน Sheet แต่ละ Module ที่คอลัมน์ 'Status' แล้วอัปเดต D/E/F/G ในตารางนี้ด้วยตนเอง หรือนับจาก COUNTIF ได้</t>
  </si>
  <si>
    <t xml:space="preserve">  🟣 Owner WS  —  NireQ UAT Manual Test Cases</t>
  </si>
  <si>
    <t xml:space="preserve">TC ID</t>
  </si>
  <si>
    <t xml:space="preserve">Priority</t>
  </si>
  <si>
    <t xml:space="preserve">Feature / Page</t>
  </si>
  <si>
    <t xml:space="preserve">Scenario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</si>
  <si>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</si>
  <si>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</si>
  <si>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</si>
  <si>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</si>
  <si>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</si>
  <si>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Notes / Bug Ref</t>
  </si>
  <si>
    <t xml:space="preserve">OW-01</t>
  </si>
  <si>
    <t xml:space="preserve">🔴 High</t>
  </si>
  <si>
    <t xml:space="preserve">Login → /manage-events
(ManageArtist)</t>
  </si>
  <si>
    <t xml:space="preserve">Login with valid owner credentials and land on Events page</t>
  </si>
  <si>
    <t xml:space="preserve">Account exists in Supabase auth
Artist record linked to user ID</t>
  </si>
  <si>
    <t xml:space="preserve">1. ไปที่ /manage-login
2. ใส่ email + password ที่ถูกต้อง
3. กด Sign In</t>
  </si>
  <si>
    <t xml:space="preserve">Redirect ไป /manage-events
เห็น Profile section + Events list
Header แสดง role 'Owner'</t>
  </si>
  <si>
    <t xml:space="preserve">⬜ Not Tested</t>
  </si>
  <si>
    <t xml:space="preserve">OW-02</t>
  </si>
  <si>
    <t xml:space="preserve">ManageArtist — Profile</t>
  </si>
  <si>
    <t xml:space="preserve">Edit and save artist profile (display name, bio, social links)</t>
  </si>
  <si>
    <t xml:space="preserve">Logged in as Owner
อยู่ที่ /manage-events</t>
  </si>
  <si>
    <t xml:space="preserve">1. แก้ Display Name
2. แก้ Bio
3. ใส่ X/IG URL
4. กด Save Profile</t>
  </si>
  <si>
    <t xml:space="preserve">Toast 'Profile saved' ปรากฏ
Data persist หลัง refresh หน้า
Slug สร้างอัตโนมัติจากชื่อ</t>
  </si>
  <si>
    <t xml:space="preserve">OW-03</t>
  </si>
  <si>
    <t xml:space="preserve">🟡 Med</t>
  </si>
  <si>
    <t xml:space="preserve">ManageArtist — Avatar</t>
  </si>
  <si>
    <t xml:space="preserve">Upload profile picture (JPG/PNG/HEIC)</t>
  </si>
  <si>
    <t xml:space="preserve">Logged in as Owner</t>
  </si>
  <si>
    <t xml:space="preserve">1. กดปุ่ม Upload avatar
2. เลือกไฟล์ภาพ
3. Crop ถ้ามี modal
4. Confirm</t>
  </si>
  <si>
    <t xml:space="preserve">รูปอัปเดตใน header ทันที
บันทึกใน Supabase Storage
ทน refresh</t>
  </si>
  <si>
    <t xml:space="preserve">OW-04</t>
  </si>
  <si>
    <t xml:space="preserve">ManageArtist — Events</t>
  </si>
  <si>
    <t xml:space="preserve">Create a new event with all required fields</t>
  </si>
  <si>
    <t xml:space="preserve">1. กด '+ New Event'
2. ใส่ Event Name, Location, Booth
3. เลือก Start/End Date+Time
4. เลือก Timezone
5. กด Save</t>
  </si>
  <si>
    <t xml:space="preserve">Event ปรากฏใน list
Status = 'Confirmed'
วันที่แสดงใน timezone ที่เลือก</t>
  </si>
  <si>
    <t xml:space="preserve">OW-05</t>
  </si>
  <si>
    <t xml:space="preserve">Edit existing event details</t>
  </si>
  <si>
    <t xml:space="preserve">มี event อยู่แล้ว 1 งาน</t>
  </si>
  <si>
    <t xml:space="preserve">1. กด Edit บน event
2. แก้ Booth detail
3. เปลี่ยน Location
4. กด Save</t>
  </si>
  <si>
    <t xml:space="preserve">ข้อมูลอัปเดตใน list
Customer side แสดงข้อมูลใหม่</t>
  </si>
  <si>
    <t xml:space="preserve">OW-06</t>
  </si>
  <si>
    <t xml:space="preserve">Delete an event</t>
  </si>
  <si>
    <t xml:space="preserve">มี event ที่ยังไม่มี order</t>
  </si>
  <si>
    <t xml:space="preserve">1. กด Delete บน event
2. Confirm dialog
3. ยืนยัน</t>
  </si>
  <si>
    <t xml:space="preserve">Event หายจาก list
Data ถูกลบจาก DB</t>
  </si>
  <si>
    <t xml:space="preserve">OW-07</t>
  </si>
  <si>
    <t xml:space="preserve">Filter events by month/year</t>
  </si>
  <si>
    <t xml:space="preserve">มี events หลายงานในต่างเดือน</t>
  </si>
  <si>
    <t xml:space="preserve">1. เลือก Month filter
2. เลือก Year filter</t>
  </si>
  <si>
    <t xml:space="preserve">List แสดงเฉพาะ events ที่ตรง filter
เมื่อ reset กลับมาแสดงทั้งหมด</t>
  </si>
  <si>
    <t xml:space="preserve">OW-08</t>
  </si>
  <si>
    <t xml:space="preserve">ManageProducts</t>
  </si>
  <si>
    <t xml:space="preserve">Add a new product to catalog</t>
  </si>
  <si>
    <t xml:space="preserve">Logged in as Owner/Manager
อยู่ที่ /manage-products</t>
  </si>
  <si>
    <t xml:space="preserve">1. กด '+ Add Product'
2. ใส่ Name, Price, Currency
3. เลือก Category
4. ใส่ Tags (comma-separated)
5. อัปโหลดรูป
6. กด Save</t>
  </si>
  <si>
    <t xml:space="preserve">Product ปรากฏใน list
รูปแสดงถูกต้อง
Tag/Category บันทึกครบ</t>
  </si>
  <si>
    <t xml:space="preserve">OW-09</t>
  </si>
  <si>
    <t xml:space="preserve">Edit existing product</t>
  </si>
  <si>
    <t xml:space="preserve">มี product ใน catalog</t>
  </si>
  <si>
    <t xml:space="preserve">1. กด Edit บน product
2. แก้ Price
3. เพิ่ม Tag ใหม่
4. Save</t>
  </si>
  <si>
    <t xml:space="preserve">ราคาและ tag อัปเดตใน list
Customer menu สะท้อนราคาใหม่</t>
  </si>
  <si>
    <t xml:space="preserve">OW-10</t>
  </si>
  <si>
    <t xml:space="preserve">Set product status (Enable / Disable / Soldout)</t>
  </si>
  <si>
    <t xml:space="preserve">1. เปิด product edit
2. เปลี่ยน Status เป็น 'disable'
3. Save
4. ตรวจสอบ customer menu</t>
  </si>
  <si>
    <t xml:space="preserve">Product ไม่แสดงใน customer menu
ใน admin ยังเห็น (label 'disabled')
เปลี่ยนกลับเป็น enable ได้</t>
  </si>
  <si>
    <t xml:space="preserve">OW-11</t>
  </si>
  <si>
    <t xml:space="preserve">Bulk upload products via CSV</t>
  </si>
  <si>
    <t xml:space="preserve">มี CSV file ที่ถูก format
(name, price, category, tags)</t>
  </si>
  <si>
    <t xml:space="preserve">1. กด Upload CSV
2. เลือกไฟล์
3. Preview
4. Confirm import</t>
  </si>
  <si>
    <t xml:space="preserve">Products ถูก import ครบ
Duplicate ถูก skip / แจ้งเตือน
Error rows รายงานชัด</t>
  </si>
  <si>
    <t xml:space="preserve">OW-12</t>
  </si>
  <si>
    <t xml:space="preserve">ManageProducts — Event Assignment</t>
  </si>
  <si>
    <t xml:space="preserve">Assign products to an event with stock</t>
  </si>
  <si>
    <t xml:space="preserve">มี products และ event อยู่แล้ว</t>
  </si>
  <si>
    <t xml:space="preserve">1. ใน ManageProducts เลือก tab 'Event Catalog'
2. เลือก Event
3. Enable products ที่ต้องการ
4. ตั้ง stock per product
5. Save</t>
  </si>
  <si>
    <t xml:space="preserve">Products ปรากฏใน customer menu ของ event นั้น
Stock แสดงถูกต้อง
Products ที่ไม่ enable ไม่แสดง</t>
  </si>
  <si>
    <t xml:space="preserve">OW-13</t>
  </si>
  <si>
    <t xml:space="preserve">ManageProducts — Promotions</t>
  </si>
  <si>
    <t xml:space="preserve">Create a promotion and apply to products</t>
  </si>
  <si>
    <t xml:space="preserve">มี products ใน catalog</t>
  </si>
  <si>
    <t xml:space="preserve">1. ไปที่ Promotions section
2. กด Add Promotion
3. เลือก type (discount %/fixed)
4. Apply ให้ products
5. Save</t>
  </si>
  <si>
    <t xml:space="preserve">ราคาโปรโมชั่นแสดงใน customer menu
Badge โปรแสดงบน product card
Original price strikethrough</t>
  </si>
  <si>
    <t xml:space="preserve">OW-14</t>
  </si>
  <si>
    <t xml:space="preserve">EventDashboard</t>
  </si>
  <si>
    <t xml:space="preserve">View analytics after event ends</t>
  </si>
  <si>
    <t xml:space="preserve">Event มี orders และ queue data
อยู่ใน /manage-events</t>
  </si>
  <si>
    <t xml:space="preserve">1. กด Dashboard icon บน event
2. ดู metric cards
3. ดู Top Products
4. ดู Hourly Sales</t>
  </si>
  <si>
    <t xml:space="preserve">Revenue, Items Sold, Queue Conversion แสดงถูกต้อง
Graphs render ครบ
No blank/0 ที่ไม่ควรเป็น</t>
  </si>
  <si>
    <t xml:space="preserve">OW-15</t>
  </si>
  <si>
    <t xml:space="preserve">EventDashboard — Export</t>
  </si>
  <si>
    <t xml:space="preserve">Export event summary as CSV</t>
  </si>
  <si>
    <t xml:space="preserve">Event มี completed orders</t>
  </si>
  <si>
    <t xml:space="preserve">1. กด 'Export summary' บน dashboard
2. รอ download</t>
  </si>
  <si>
    <t xml:space="preserve">ไฟล์ CSV ดาวน์โหลด
ข้อมูลครบ: Revenue, Orders, Queue %, Avg Wait
ชื่อไฟล์ใช้ event name</t>
  </si>
  <si>
    <t xml:space="preserve">OW-16</t>
  </si>
  <si>
    <t xml:space="preserve">OrderHistory</t>
  </si>
  <si>
    <t xml:space="preserve">View order history for an event</t>
  </si>
  <si>
    <t xml:space="preserve">1. จาก event list กด History
2. ดู order list</t>
  </si>
  <si>
    <t xml:space="preserve">รายการ order ครบ
Payment method, items, total แสดง
Filter/sort ใช้งานได้</t>
  </si>
  <si>
    <t xml:space="preserve">OW-17</t>
  </si>
  <si>
    <t xml:space="preserve">ManageArtist — Sharing</t>
  </si>
  <si>
    <t xml:space="preserve">Copy public booth link / QR code</t>
  </si>
  <si>
    <t xml:space="preserve">Logged in as Owner
Artist มี slug</t>
  </si>
  <si>
    <t xml:space="preserve">1. กด 'Copy Link' หรือ QR icon
2. เปิด URL ใน incognito</t>
  </si>
  <si>
    <t xml:space="preserve">Link copy ไป clipboard
URL format /:slug/home
Incognito เห็น booth ปกติ</t>
  </si>
  <si>
    <t xml:space="preserve">  🔴 POS+Queue  —  NireQ UAT Manual Test Cases</t>
  </si>
  <si>
    <t xml:space="preserve">PQ-01</t>
  </si>
  <si>
    <t xml:space="preserve">ManageCombined — Event Select</t>
  </si>
  <si>
    <t xml:space="preserve">Staff login and select active event</t>
  </si>
  <si>
    <t xml:space="preserve">Staff account (seller/queue_staff) exists
Assigned to an event</t>
  </si>
  <si>
    <t xml:space="preserve">1. Login เป็น staff
2. Redirect ไป /manage-pos-queues
3. เลือก event จาก dropdown</t>
  </si>
  <si>
    <t xml:space="preserve">Event โหลดใน POS+Queue panel
Event badge แสดงชื่องานใน header
Queue list ปรากฏ</t>
  </si>
  <si>
    <t xml:space="preserve">PQ-02</t>
  </si>
  <si>
    <t xml:space="preserve">Queue Panel — Call Next</t>
  </si>
  <si>
    <t xml:space="preserve">Queue staff calls next waiting customer</t>
  </si>
  <si>
    <t xml:space="preserve">มี customer รอคิวอยู่ (status=waiting)
Booth เปิดแล้ว</t>
  </si>
  <si>
    <t xml:space="preserve">1. ดู Waiting list
2. กด 'Call' บน queue item แรก
3. ดู status change</t>
  </si>
  <si>
    <t xml:space="preserve">Status เปลี่ยนเป็น 'calling'
Customer side แสดง notification
Queue number highlight</t>
  </si>
  <si>
    <t xml:space="preserve">PQ-03</t>
  </si>
  <si>
    <t xml:space="preserve">Queue Panel — Serve</t>
  </si>
  <si>
    <t xml:space="preserve">Mark customer as being served</t>
  </si>
  <si>
    <t xml:space="preserve">มี queue ที่ status=calling</t>
  </si>
  <si>
    <t xml:space="preserve">1. กด 'Serve' บน calling item</t>
  </si>
  <si>
    <t xml:space="preserve">Status เปลี่ยนเป็น 'serving'
Timer เริ่มนับ (ถ้ามี)
Customer status อัปเดต realtime</t>
  </si>
  <si>
    <t xml:space="preserve">PQ-04</t>
  </si>
  <si>
    <t xml:space="preserve">Queue Panel — Complete</t>
  </si>
  <si>
    <t xml:space="preserve">Complete a queue after service</t>
  </si>
  <si>
    <t xml:space="preserve">มี queue ที่ status=serving</t>
  </si>
  <si>
    <t xml:space="preserve">1. กด 'Done' / 'Complete'
2. Confirm</t>
  </si>
  <si>
    <t xml:space="preserve">Status เปลี่ยนเป็น 'complete'
Queue หายจาก active list
Order ถูก record (ถ้าผ่าน POS)</t>
  </si>
  <si>
    <t xml:space="preserve">PQ-05</t>
  </si>
  <si>
    <t xml:space="preserve">Queue Panel — Miss/Expire</t>
  </si>
  <si>
    <t xml:space="preserve">Mark customer as missed</t>
  </si>
  <si>
    <t xml:space="preserve">Customer ถูก call แต่ไม่มา</t>
  </si>
  <si>
    <t xml:space="preserve">1. กด 'Miss' บน calling item</t>
  </si>
  <si>
    <t xml:space="preserve">Status เปลี่ยนเป็น 'missed'
Queue หายจาก active
Customer เห็น status 'missed' ใน app</t>
  </si>
  <si>
    <t xml:space="preserve">PQ-06</t>
  </si>
  <si>
    <t xml:space="preserve">Queue Panel — Pause</t>
  </si>
  <si>
    <t xml:space="preserve">Pause queue operation</t>
  </si>
  <si>
    <t xml:space="preserve">Queue กำลัง active</t>
  </si>
  <si>
    <t xml:space="preserve">1. กด Pause Queue
2. ลอง join คิวใหม่จาก customer side</t>
  </si>
  <si>
    <t xml:space="preserve">ปุ่ม Call ถูก disable
Customer ที่จะ join เห็นข้อความ queue paused
Resume ได้ปกติ</t>
  </si>
  <si>
    <t xml:space="preserve">PQ-07</t>
  </si>
  <si>
    <t xml:space="preserve">Queue Panel — Booth Toggle</t>
  </si>
  <si>
    <t xml:space="preserve">Toggle booth open/closed</t>
  </si>
  <si>
    <t xml:space="preserve">Owner/Manager login</t>
  </si>
  <si>
    <t xml:space="preserve">1. Toggle 'Booth Open' off
2. ตรวจสอบ customer side</t>
  </si>
  <si>
    <t xml:space="preserve">Customer home แสดง booth status 'Closed'
Join Queue ถูก disable
Toggle กลับเป็น open ได้</t>
  </si>
  <si>
    <t xml:space="preserve">PQ-08</t>
  </si>
  <si>
    <t xml:space="preserve">POS Panel — Add to Cart</t>
  </si>
  <si>
    <t xml:space="preserve">Seller adds products to cart for a customer</t>
  </si>
  <si>
    <t xml:space="preserve">มี products assigned ใน active event
Login เป็น Seller</t>
  </si>
  <si>
    <t xml:space="preserve">1. เปิด POS tab
2. เลือก product จาก grid
3. เพิ่มจำนวน
4. ดู cart total</t>
  </si>
  <si>
    <t xml:space="preserve">Product เพิ่มใน cart
ราคาคำนวณถูกต้อง
จำนวนเพิ่ม/ลดได้</t>
  </si>
  <si>
    <t xml:space="preserve">PQ-09</t>
  </si>
  <si>
    <t xml:space="preserve">POS Panel — Checkout (Cash)</t>
  </si>
  <si>
    <t xml:space="preserve">Complete a cash transaction</t>
  </si>
  <si>
    <t xml:space="preserve">Cart มีของ อย่างน้อย 1 ชิ้น</t>
  </si>
  <si>
    <t xml:space="preserve">1. กด Checkout
2. เลือก Payment: Cash
3. ใส่ amount received
4. Confirm</t>
  </si>
  <si>
    <t xml:space="preserve">Order สร้างใน DB (status=completed)
Stock ลดตามจำนวน
Slip/summary แสดง
Cart clear</t>
  </si>
  <si>
    <t xml:space="preserve">PQ-10</t>
  </si>
  <si>
    <t xml:space="preserve">POS Panel — Checkout (Transfer)</t>
  </si>
  <si>
    <t xml:space="preserve">Complete a transfer/QR payment</t>
  </si>
  <si>
    <t xml:space="preserve">Cart มีของ</t>
  </si>
  <si>
    <t xml:space="preserve">1. กด Checkout
2. เลือก Payment: Transfer
3. Confirm</t>
  </si>
  <si>
    <t xml:space="preserve">Order สร้าง payment_method=transfer
History บันทึกถูกต้อง
Dashboard นับ transfer revenue</t>
  </si>
  <si>
    <t xml:space="preserve">PQ-11</t>
  </si>
  <si>
    <t xml:space="preserve">POS Panel — Promotions</t>
  </si>
  <si>
    <t xml:space="preserve">Promotion applied automatically in POS</t>
  </si>
  <si>
    <t xml:space="preserve">Product มี active promotion (%discount)
Product อยู่ใน cart</t>
  </si>
  <si>
    <t xml:space="preserve">1. Add product ที่มีโปรมาใน cart
2. ดู line item price</t>
  </si>
  <si>
    <t xml:space="preserve">ราคาลดอัตโนมัติตาม promotion rule
Discount amount แสดงใน line item
Total สะท้อน discount</t>
  </si>
  <si>
    <t xml:space="preserve">PQ-12</t>
  </si>
  <si>
    <t xml:space="preserve">POS Panel — Stock Limit</t>
  </si>
  <si>
    <t xml:space="preserve">Cannot checkout more than available stock</t>
  </si>
  <si>
    <t xml:space="preserve">Product มี stock_total = 2</t>
  </si>
  <si>
    <t xml:space="preserve">1. ใส่ quantity = 3 ใน cart
2. กด Checkout</t>
  </si>
  <si>
    <t xml:space="preserve">Error แจ้ง 'Insufficient stock'
Checkout blocked
Stock ไม่ลด</t>
  </si>
  <si>
    <t xml:space="preserve">PQ-13</t>
  </si>
  <si>
    <t xml:space="preserve">POS Panel — Queue Link</t>
  </si>
  <si>
    <t xml:space="preserve">Link POS order to queue number</t>
  </si>
  <si>
    <t xml:space="preserve">Customer มีคิว (status=serving)
Seller อยู่ที่ POS</t>
  </si>
  <si>
    <t xml:space="preserve">1. เลือก queue number ใน POS
2. Add products
3. Checkout</t>
  </si>
  <si>
    <t xml:space="preserve">Order linked กับ queue ID
History แสดง queue number ด้วย
Queue complete อัตโนมัติหรือต้อง manual</t>
  </si>
  <si>
    <t xml:space="preserve">PQ-14</t>
  </si>
  <si>
    <t xml:space="preserve">ManageCombined — Realtime</t>
  </si>
  <si>
    <t xml:space="preserve">Multiple staff see same queue state</t>
  </si>
  <si>
    <t xml:space="preserve">2 devices login เป็น staff คนละตัว
ดู same event</t>
  </si>
  <si>
    <t xml:space="preserve">1. Device A call queue
2. ดู Device B ทันที</t>
  </si>
  <si>
    <t xml:space="preserve">Device B เห็น status change ภายใน 3 วิ
ไม่ต้อง refresh
Subscription ไม่ drop</t>
  </si>
  <si>
    <t xml:space="preserve">  🔵 Customer  —  NireQ UAT Manual Test Cases</t>
  </si>
  <si>
    <t xml:space="preserve">CS-01</t>
  </si>
  <si>
    <t xml:space="preserve">DiscoveryHome /discover</t>
  </si>
  <si>
    <t xml:space="preserve">Customer finds an artist via discovery page</t>
  </si>
  <si>
    <t xml:space="preserve">ไม่ต้อง login
มี artist/event active อยู่ใน DB</t>
  </si>
  <si>
    <t xml:space="preserve">1. เปิด /discover ใน incognito
2. ดู creator list
3. กดเข้า artist</t>
  </si>
  <si>
    <t xml:space="preserve">เห็น creators + events
กดเข้า /:slug/home ได้
ไม่มี auth redirect</t>
  </si>
  <si>
    <t xml:space="preserve">CS-02</t>
  </si>
  <si>
    <t xml:space="preserve">CustomerHome /:slug</t>
  </si>
  <si>
    <t xml:space="preserve">View artist booth home page</t>
  </si>
  <si>
    <t xml:space="preserve">Artist มี slug และ event active</t>
  </si>
  <si>
    <t xml:space="preserve">1. เปิด /:slug/home
2. ดูข้อมูล artist
3. ดู event info</t>
  </si>
  <si>
    <t xml:space="preserve">Profile picture, name, bio แสดง
Social links ใช้งานได้
Event date/location/booth ถูกต้อง</t>
  </si>
  <si>
    <t xml:space="preserve">CS-03</t>
  </si>
  <si>
    <t xml:space="preserve">MenuView /:slug/menu</t>
  </si>
  <si>
    <t xml:space="preserve">Browse products and add to cart</t>
  </si>
  <si>
    <t xml:space="preserve">Event มี products assigned
Booth เปิดอยู่</t>
  </si>
  <si>
    <t xml:space="preserve">1. เปิด /:slug/menu
2. ดู product list
3. กด + เพิ่ม product ลง cart
4. ดู cart total</t>
  </si>
  <si>
    <t xml:space="preserve">Products แสดงพร้อมรูป ราคา
Cart counter อัปเดต
Total คำนวณถูก
Productsที่ disable ไม่แสดง</t>
  </si>
  <si>
    <t xml:space="preserve">CS-04</t>
  </si>
  <si>
    <t xml:space="preserve">MenuView — Filter / Search</t>
  </si>
  <si>
    <t xml:space="preserve">Filter products by category or search</t>
  </si>
  <si>
    <t xml:space="preserve">มี products หลาย category</t>
  </si>
  <si>
    <t xml:space="preserve">1. ใช้ search bar
2. กด category filter
3. Sort by price</t>
  </si>
  <si>
    <t xml:space="preserve">ผลลัพธ์ filter ถูกต้อง
Clear filter กลับมาทั้งหมด
Search ไม่ case-sensitive</t>
  </si>
  <si>
    <t xml:space="preserve">CS-05</t>
  </si>
  <si>
    <t xml:space="preserve">MenuView — Promotions</t>
  </si>
  <si>
    <t xml:space="preserve">Promotion badge and discounted price shown</t>
  </si>
  <si>
    <t xml:space="preserve">Product มี active promotion</t>
  </si>
  <si>
    <t xml:space="preserve">1. เปิด menu
2. ดู product ที่มีโปร</t>
  </si>
  <si>
    <t xml:space="preserve">Badge โปรแสดงบน card
ราคาลดแสดง
Original price strikethrough</t>
  </si>
  <si>
    <t xml:space="preserve">CS-06</t>
  </si>
  <si>
    <t xml:space="preserve">MenuView — Soldout</t>
  </si>
  <si>
    <t xml:space="preserve">Soldout product cannot be added to cart</t>
  </si>
  <si>
    <t xml:space="preserve">Product status = 'soldout'</t>
  </si>
  <si>
    <t xml:space="preserve">1. เปิด menu
2. ดู soldout product
3. พยายามเพิ่มลง cart</t>
  </si>
  <si>
    <t xml:space="preserve">Product แสดง label 'Sold Out'
ปุ่ม + disabled
Cart ไม่เปลี่ยน</t>
  </si>
  <si>
    <t xml:space="preserve">CS-07</t>
  </si>
  <si>
    <t xml:space="preserve">QueueView — Join Queue</t>
  </si>
  <si>
    <t xml:space="preserve">Customer joins queue and gets ticket</t>
  </si>
  <si>
    <t xml:space="preserve">Booth เปิด
Event active
Customer ยังไม่มี ticket</t>
  </si>
  <si>
    <t xml:space="preserve">1. เปิด /:slug/queue
2. กด 'Get Ticket' / 'Join Queue'
3. Confirm</t>
  </si>
  <si>
    <t xml:space="preserve">เลขคิวปรากฏ
Status = 'waiting'
ETA window แสดง
Ticket persist ถ้า refresh</t>
  </si>
  <si>
    <t xml:space="preserve">CS-08</t>
  </si>
  <si>
    <t xml:space="preserve">QueueView — Realtime Status</t>
  </si>
  <si>
    <t xml:space="preserve">Customer sees status update in realtime</t>
  </si>
  <si>
    <t xml:space="preserve">Customer มีคิว status=waiting
Staff call queue จาก admin</t>
  </si>
  <si>
    <t xml:space="preserve">1. เปิด queue view บน customer device
2. Staff กด Call ฝั่ง admin</t>
  </si>
  <si>
    <t xml:space="preserve">Customer เห็น status เปลี่ยนเป็น 'calling'
Animation/highlight ปรากฏ
ภายใน 5 วิ ไม่ต้อง refresh</t>
  </si>
  <si>
    <t xml:space="preserve">CS-09</t>
  </si>
  <si>
    <t xml:space="preserve">QueueView — Leave Queue</t>
  </si>
  <si>
    <t xml:space="preserve">Customer leaves queue voluntarily</t>
  </si>
  <si>
    <t xml:space="preserve">Customer มีคิว status=waiting</t>
  </si>
  <si>
    <t xml:space="preserve">1. กด 'Leave Queue'
2. Confirm dialog
3. ยืนยัน</t>
  </si>
  <si>
    <t xml:space="preserve">Ticket ถูก cancel
Queue view reset (ไม่มี ticket)
Admin waiting list ลดลง 1</t>
  </si>
  <si>
    <t xml:space="preserve">CS-10</t>
  </si>
  <si>
    <t xml:space="preserve">QueueView — Already Have Ticket</t>
  </si>
  <si>
    <t xml:space="preserve">Customer cannot join twice</t>
  </si>
  <si>
    <t xml:space="preserve">Customer มี active ticket อยู่แล้ว</t>
  </si>
  <si>
    <t xml:space="preserve">1. เปิด /:slug/queue
2. ดูว่า Join button พฤติกรรม</t>
  </si>
  <si>
    <t xml:space="preserve">ไม่มีปุ่ม Join Queue
แสดง ticket ปัจจุบันแทน
ป้องกัน duplicate ticket</t>
  </si>
  <si>
    <t xml:space="preserve">CS-11</t>
  </si>
  <si>
    <t xml:space="preserve">CustomerLayout — Event Switch</t>
  </si>
  <si>
    <t xml:space="preserve">Customer switches between events of same artist</t>
  </si>
  <si>
    <t xml:space="preserve">Artist มีหลาย active events</t>
  </si>
  <si>
    <t xml:space="preserve">1. เปิด /:slug/home
2. กด event selector
3. เปลี่ยน event</t>
  </si>
  <si>
    <t xml:space="preserve">Menu + Queue อัปเดตตาม event ที่เลือก
URL หรือ state สะท้อน event ที่เลือก</t>
  </si>
  <si>
    <t xml:space="preserve">CS-12</t>
  </si>
  <si>
    <t xml:space="preserve">Booth Closed State</t>
  </si>
  <si>
    <t xml:space="preserve">Customer opens booth that is closed</t>
  </si>
  <si>
    <t xml:space="preserve">is_booth_open = false</t>
  </si>
  <si>
    <t xml:space="preserve">1. เปิด /:slug ขณะ booth ปิด</t>
  </si>
  <si>
    <t xml:space="preserve">แสดง 'Booth Closed' banner
Join Queue disabled
Menu ยังดูได้ (read-only)</t>
  </si>
  <si>
    <t xml:space="preserve">  🟢 Auth  —  NireQ UAT Manual Test Cases</t>
  </si>
  <si>
    <t xml:space="preserve">AU-01</t>
  </si>
  <si>
    <t xml:space="preserve">ManageLogin /manage-login</t>
  </si>
  <si>
    <t xml:space="preserve">Login with valid owner credentials</t>
  </si>
  <si>
    <t xml:space="preserve">Account ใน Supabase auth + artist record</t>
  </si>
  <si>
    <t xml:space="preserve">1. เปิด /manage-login
2. ใส่ email + password ถูกต้อง
3. กด Sign In</t>
  </si>
  <si>
    <t xml:space="preserve">Redirect ไป /manage-events
Header แสดง role, email
Session persist ถ้า refresh</t>
  </si>
  <si>
    <t xml:space="preserve">AU-02</t>
  </si>
  <si>
    <t xml:space="preserve">ManageLogin — Wrong Credentials</t>
  </si>
  <si>
    <t xml:space="preserve">Login with wrong password</t>
  </si>
  <si>
    <t xml:space="preserve">Account มีอยู่</t>
  </si>
  <si>
    <t xml:space="preserve">1. ใส่ email ถูก password ผิด
2. กด Sign In</t>
  </si>
  <si>
    <t xml:space="preserve">Error message แสดง (e.g. 'Invalid credentials')
ไม่ redirect
Form ไม่ clear email</t>
  </si>
  <si>
    <t xml:space="preserve">AU-03</t>
  </si>
  <si>
    <t xml:space="preserve">Logout</t>
  </si>
  <si>
    <t xml:space="preserve">Sign out and redirect to login</t>
  </si>
  <si>
    <t xml:space="preserve">Logged in as any role</t>
  </si>
  <si>
    <t xml:space="preserve">1. กด Sign Out ใน header
2. ดูว่า redirect ไปไหน</t>
  </si>
  <si>
    <t xml:space="preserve">Redirect ไป /manage-login
Session cleared
/manage-events กลับมา redirect ต่อ</t>
  </si>
  <si>
    <t xml:space="preserve">AU-04</t>
  </si>
  <si>
    <t xml:space="preserve">Role — Owner access</t>
  </si>
  <si>
    <t xml:space="preserve">Owner เข้าได้ทุกหน้า</t>
  </si>
  <si>
    <t xml:space="preserve">Login เป็น Owner</t>
  </si>
  <si>
    <t xml:space="preserve">1. ไป /manage-events
2. ไป /manage-products
3. ไป /manage-team
4. ไป /manage-pos-queues</t>
  </si>
  <si>
    <t xml:space="preserve">เข้าได้ทั้งหมด
Team tab แสดงใน nav
Dashboard + History เข้าได้</t>
  </si>
  <si>
    <t xml:space="preserve">AU-05</t>
  </si>
  <si>
    <t xml:space="preserve">Role — Manager cannot access Team</t>
  </si>
  <si>
    <t xml:space="preserve">Manager ไม่เห็น /manage-team</t>
  </si>
  <si>
    <t xml:space="preserve">Login เป็น Manager</t>
  </si>
  <si>
    <t xml:space="preserve">1. ดู nav bar
2. พยายามเปิด /manage-team โดยตรง</t>
  </si>
  <si>
    <t xml:space="preserve">Team ไม่แสดงใน nav
URL redirect ไป /manage-pos-queues หรือ 403
ไม่เห็น team data</t>
  </si>
  <si>
    <t xml:space="preserve">AU-06</t>
  </si>
  <si>
    <t xml:space="preserve">Role — Seller (/manage-pos-queues only)</t>
  </si>
  <si>
    <t xml:space="preserve">Seller เห็นแค่ POS/Queue</t>
  </si>
  <si>
    <t xml:space="preserve">Login เป็น Seller
Assigned to event</t>
  </si>
  <si>
    <t xml:space="preserve">1. ดู nav bar
2. พยายามไป /manage-events
3. พยายามไป /manage-products</t>
  </si>
  <si>
    <t xml:space="preserve">Nav แสดงแค่ POS/Queue
Redirect ออกจาก /manage-events
POS panel เต็ม, Queue panel ครบ</t>
  </si>
  <si>
    <t xml:space="preserve">AU-07</t>
  </si>
  <si>
    <t xml:space="preserve">Role — Queue Staff (Queue only, no POS)</t>
  </si>
  <si>
    <t xml:space="preserve">Queue Staff ไม่เห็น POS checkout</t>
  </si>
  <si>
    <t xml:space="preserve">Login เป็น queue_staff</t>
  </si>
  <si>
    <t xml:space="preserve">1. เปิด /manage-pos-queues
2. ดู tab/panel ที่แสดง</t>
  </si>
  <si>
    <t xml:space="preserve">Queue panel แสดงครบ
POS/Checkout panel ไม่แสดง
ไม่สามารถ process payment ได้</t>
  </si>
  <si>
    <t xml:space="preserve">AU-08</t>
  </si>
  <si>
    <t xml:space="preserve">ManageTeam — Invite Member</t>
  </si>
  <si>
    <t xml:space="preserve">Owner invites a new team member</t>
  </si>
  <si>
    <t xml:space="preserve">1. ไป /manage-team
2. กด Invite
3. ใส่ email
4. เลือก role (Manager/Seller/Queue Staff)
5. Send</t>
  </si>
  <si>
    <t xml:space="preserve">Invite record สร้างใน DB
Member เห็น access เมื่อ login
Role ถูกต้อง</t>
  </si>
  <si>
    <t xml:space="preserve">AU-09</t>
  </si>
  <si>
    <t xml:space="preserve">ManageTeam — Event Assignment</t>
  </si>
  <si>
    <t xml:space="preserve">Assign team member to specific event</t>
  </si>
  <si>
    <t xml:space="preserve">มี team member อยู่แล้ว
มี events หลายงาน</t>
  </si>
  <si>
    <t xml:space="preserve">1. เลือก member
2. Assign ให้เฉพาะ Event A
3. Login เป็น member นั้น</t>
  </si>
  <si>
    <t xml:space="preserve">Member เห็นแค่ Event A ใน POS dropdown
Event B ไม่แสดง</t>
  </si>
  <si>
    <t xml:space="preserve">AU-10</t>
  </si>
  <si>
    <t xml:space="preserve">ResetPassword /reset-password</t>
  </si>
  <si>
    <t xml:space="preserve">Owner resets password via email</t>
  </si>
  <si>
    <t xml:space="preserve">Account มีอยู่ใน Supabase</t>
  </si>
  <si>
    <t xml:space="preserve">1. กด Forgot Password ที่ login
2. ใส่ email
3. ตรวจ inbox
4. กด link
5. ตั้ง password ใหม่</t>
  </si>
  <si>
    <t xml:space="preserve">Email ส่งสำเร็จ
Link redirect ไป /reset-password
Password ใหม่ใช้ login ได้
Link ใช้ได้ครั้งเดียว</t>
  </si>
  <si>
    <t xml:space="preserve">AU-11</t>
  </si>
  <si>
    <t xml:space="preserve">Unauthenticated Access</t>
  </si>
  <si>
    <t xml:space="preserve">Guest เข้า manage pages ไม่ได้</t>
  </si>
  <si>
    <t xml:space="preserve">ไม่มี session</t>
  </si>
  <si>
    <t xml:space="preserve">1. เปิด /manage-events โดยไม่ login
2. เปิด /manage-products</t>
  </si>
  <si>
    <t xml:space="preserve">Redirect ไป /manage-login
URL redirect param บันทึก
หลัง login กลับมาหน้าเดิม</t>
  </si>
  <si>
    <t xml:space="preserve">AU-12</t>
  </si>
  <si>
    <t xml:space="preserve">CreatorRegister /creator/register</t>
  </si>
  <si>
    <t xml:space="preserve">New artist registers</t>
  </si>
  <si>
    <t xml:space="preserve">ไม่มี account</t>
  </si>
  <si>
    <t xml:space="preserve">1. เปิด /creator/register
2. กรอกข้อมูลครบ
3. Submit</t>
  </si>
  <si>
    <t xml:space="preserve">Account สร้างใน Supabase
Artist record สร้าง
Redirect ไป /manage-events
หรือ pending approval ถ้ามี flow นั้น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</si>
</sst>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BE185D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4"/>
      <color rgb="FFBE185D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rgb="FFF3F4F6"/>
        <bgColor rgb="FFEFF6FF"/>
      </patternFill>
    </fill>
    <fill>
      <patternFill patternType="solid">
        <fgColor rgb="FF374151"/>
        <bgColor rgb="FF333300"/>
      </patternFill>
    </fill>
    <fill>
      <patternFill patternType="solid">
        <fgColor rgb="FFD1FAE5"/>
        <bgColor rgb="FFCCFBF1"/>
      </patternFill>
    </fill>
    <fill>
      <patternFill patternType="solid">
        <fgColor rgb="FFFEE2E2"/>
        <bgColor rgb="FFFCE7F3"/>
      </patternFill>
    </fill>
    <fill>
      <patternFill patternType="solid">
        <fgColor rgb="FFFEF3C7"/>
        <bgColor rgb="FFFEE2E2"/>
      </patternFill>
    </fill>
    <fill>
      <patternFill patternType="solid">
        <fgColor rgb="FFBE185D"/>
        <bgColor rgb="FF993366"/>
      </patternFill>
    </fill>
    <fill>
      <patternFill patternType="solid">
        <fgColor rgb="FFEDE9FE"/>
        <bgColor rgb="FFE5E7EB"/>
      </patternFill>
    </fill>
    <fill>
      <patternFill patternType="solid">
        <fgColor rgb="FFFCE7F3"/>
        <bgColor rgb="FFFEE2E2"/>
      </patternFill>
    </fill>
    <fill>
      <patternFill patternType="solid">
        <fgColor rgb="FFDBEAFE"/>
        <bgColor rgb="FFE5E7EB"/>
      </patternFill>
    </fill>
    <fill>
      <patternFill patternType="solid">
        <fgColor rgb="FFCCFBF1"/>
        <bgColor rgb="FFD1FAE5"/>
      </patternFill>
    </fill>
    <fill>
      <patternFill patternType="solid">
        <fgColor rgb="FFFAF5FF"/>
        <bgColor rgb="FFFDF2F8"/>
      </patternFill>
    </fill>
    <fill>
      <patternFill patternType="solid">
        <fgColor rgb="FFFDF2F8"/>
        <bgColor rgb="FFFAF5FF"/>
      </patternFill>
    </fill>
    <fill>
      <patternFill patternType="solid">
        <fgColor rgb="FFEFF6FF"/>
        <bgColor rgb="FFF3F4F6"/>
      </patternFill>
    </fill>
    <fill>
      <patternFill patternType="solid">
        <fgColor rgb="FFF0FDFA"/>
        <bgColor rgb="FFF9FAFB"/>
      </patternFill>
    </fill>
    <fill>
      <patternFill patternType="solid">
        <fgColor rgb="FF5B21B6"/>
        <bgColor rgb="FF800080"/>
      </patternFill>
    </fill>
    <fill>
      <patternFill patternType="solid">
        <fgColor rgb="FFF9FAFB"/>
        <bgColor rgb="FFFAF5FF"/>
      </patternFill>
    </fill>
    <fill>
      <patternFill patternType="solid">
        <fgColor rgb="FF1D4ED8"/>
        <bgColor rgb="FF3366FF"/>
      </patternFill>
    </fill>
    <fill>
      <patternFill patternType="solid">
        <fgColor rgb="FF0E749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A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DE9FE"/>
      <rgbColor rgb="FF808080"/>
      <rgbColor rgb="FFFAF5FF"/>
      <rgbColor rgb="FFBE185D"/>
      <rgbColor rgb="FFFEF3C7"/>
      <rgbColor rgb="FFCCFBF1"/>
      <rgbColor rgb="FF660066"/>
      <rgbColor rgb="FFFF8080"/>
      <rgbColor rgb="FF1D4ED8"/>
      <rgbColor rgb="FFE5E7EB"/>
      <rgbColor rgb="FF000080"/>
      <rgbColor rgb="FFFF00FF"/>
      <rgbColor rgb="FFF9FAFB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3F4F6"/>
      <rgbColor rgb="FFEFF6FF"/>
      <rgbColor rgb="FFFCE7F3"/>
      <rgbColor rgb="FFFDF2F8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1B6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8"/>
  </cols>
  <sheetData>
    <row r="1" customFormat="false" ht="18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1"/>
      <c r="C3" s="1"/>
      <c r="D3" s="1"/>
      <c r="E3" s="1"/>
    </row>
    <row r="4" customFormat="false" ht="18" hidden="false" customHeight="true" outlineLevel="0" collapsed="false">
      <c r="B4" s="2" t="s">
        <v>1</v>
      </c>
      <c r="C4" s="2"/>
      <c r="D4" s="2"/>
      <c r="E4" s="2"/>
    </row>
    <row r="5" customFormat="false" ht="18" hidden="false" customHeight="true" outlineLevel="0" collapsed="false"/>
    <row r="6" customFormat="false" ht="19.5" hidden="false" customHeight="true" outlineLevel="0" collapsed="false">
      <c r="B6" s="3" t="s">
        <v>2</v>
      </c>
      <c r="C6" s="4" t="s">
        <v>3</v>
      </c>
      <c r="D6" s="4"/>
      <c r="E6" s="4"/>
    </row>
    <row r="7" customFormat="false" ht="19.5" hidden="false" customHeight="true" outlineLevel="0" collapsed="false">
      <c r="B7" s="3" t="s">
        <v>4</v>
      </c>
      <c r="C7" s="4" t="s">
        <v>5</v>
      </c>
      <c r="D7" s="4"/>
      <c r="E7" s="4"/>
    </row>
    <row r="8" customFormat="false" ht="19.5" hidden="false" customHeight="true" outlineLevel="0" collapsed="false">
      <c r="B8" s="3" t="s">
        <v>6</v>
      </c>
      <c r="C8" s="4" t="s">
        <v>7</v>
      </c>
      <c r="D8" s="4"/>
      <c r="E8" s="4"/>
    </row>
    <row r="9" customFormat="false" ht="19.5" hidden="false" customHeight="true" outlineLevel="0" collapsed="false">
      <c r="B9" s="3" t="s">
        <v>8</v>
      </c>
      <c r="C9" s="4" t="s">
        <v>9</v>
      </c>
      <c r="D9" s="4"/>
      <c r="E9" s="4"/>
    </row>
    <row r="10" customFormat="false" ht="19.5" hidden="false" customHeight="true" outlineLevel="0" collapsed="false">
      <c r="B10" s="3" t="s">
        <v>10</v>
      </c>
      <c r="C10" s="4" t="s">
        <v>11</v>
      </c>
      <c r="D10" s="4"/>
      <c r="E10" s="4"/>
    </row>
    <row r="11" customFormat="false" ht="19.5" hidden="false" customHeight="true" outlineLevel="0" collapsed="false">
      <c r="B11" s="3" t="s">
        <v>12</v>
      </c>
      <c r="C11" s="4" t="s">
        <v>13</v>
      </c>
      <c r="D11" s="4"/>
      <c r="E11" s="4"/>
    </row>
    <row r="12" customFormat="false" ht="19.5" hidden="false" customHeight="true" outlineLevel="0" collapsed="false">
      <c r="B12" s="3" t="s">
        <v>14</v>
      </c>
      <c r="C12" s="4" t="n">
        <f aca="false">COUNTA('🟣 Owner WS'!B:B)+COUNTA('🔴 POS+Queue'!B:B)+COUNTA('🔵 Customer'!B:B)+COUNTA('🟢 Auth'!B:B)-4</f>
        <v>55</v>
      </c>
      <c r="D12" s="4"/>
      <c r="E12" s="4"/>
    </row>
    <row r="13" customFormat="false" ht="18" hidden="false" customHeight="true" outlineLevel="0" collapsed="false"/>
    <row r="14" customFormat="false" ht="18" hidden="false" customHeight="true" outlineLevel="0" collapsed="false">
      <c r="B14" s="5" t="s">
        <v>15</v>
      </c>
      <c r="C14" s="5"/>
      <c r="D14" s="5"/>
      <c r="E14" s="5"/>
    </row>
    <row r="15" customFormat="false" ht="19.5" hidden="false" customHeight="true" outlineLevel="0" collapsed="false">
      <c r="B15" s="6" t="s">
        <v>16</v>
      </c>
      <c r="C15" s="7" t="s">
        <v>17</v>
      </c>
      <c r="D15" s="7"/>
      <c r="E15" s="7"/>
    </row>
    <row r="16" customFormat="false" ht="19.5" hidden="false" customHeight="true" outlineLevel="0" collapsed="false">
      <c r="B16" s="8" t="s">
        <v>18</v>
      </c>
      <c r="C16" s="7" t="s">
        <v>19</v>
      </c>
      <c r="D16" s="7"/>
      <c r="E16" s="7"/>
    </row>
    <row r="17" customFormat="false" ht="19.5" hidden="false" customHeight="true" outlineLevel="0" collapsed="false">
      <c r="B17" s="9" t="s">
        <v>20</v>
      </c>
      <c r="C17" s="7" t="s">
        <v>21</v>
      </c>
      <c r="D17" s="7"/>
      <c r="E17" s="7"/>
    </row>
    <row r="18" customFormat="false" ht="19.5" hidden="false" customHeight="true" outlineLevel="0" collapsed="false">
      <c r="B18" s="10" t="s">
        <v>22</v>
      </c>
      <c r="C18" s="7" t="s">
        <v>23</v>
      </c>
      <c r="D18" s="7"/>
      <c r="E18" s="7"/>
    </row>
    <row r="19" customFormat="false" ht="19.5" hidden="false" customHeight="true" outlineLevel="0" collapsed="false">
      <c r="B19" s="3" t="s">
        <v>24</v>
      </c>
      <c r="C19" s="7" t="s">
        <v>25</v>
      </c>
      <c r="D19" s="7"/>
      <c r="E19" s="7"/>
    </row>
    <row r="20" customFormat="false" ht="18" hidden="false" customHeight="true" outlineLevel="0" collapsed="false"/>
    <row r="21" customFormat="false" ht="18" hidden="false" customHeight="true" outlineLevel="0" collapsed="false">
      <c r="B21" s="11" t="s">
        <v>26</v>
      </c>
      <c r="C21" s="11"/>
      <c r="D21" s="11"/>
      <c r="E21" s="11"/>
    </row>
    <row r="22" customFormat="false" ht="21.75" hidden="false" customHeight="true" outlineLevel="0" collapsed="false">
      <c r="B22" s="12" t="s">
        <v>27</v>
      </c>
      <c r="C22" s="6" t="s">
        <v>28</v>
      </c>
      <c r="D22" s="7" t="s">
        <v>29</v>
      </c>
      <c r="E22" s="7"/>
    </row>
    <row r="23" customFormat="false" ht="21.75" hidden="false" customHeight="true" outlineLevel="0" collapsed="false">
      <c r="B23" s="13" t="s">
        <v>30</v>
      </c>
      <c r="C23" s="6" t="s">
        <v>31</v>
      </c>
      <c r="D23" s="7" t="s">
        <v>32</v>
      </c>
      <c r="E23" s="7"/>
    </row>
    <row r="24" customFormat="false" ht="21.75" hidden="false" customHeight="true" outlineLevel="0" collapsed="false">
      <c r="B24" s="14" t="s">
        <v>33</v>
      </c>
      <c r="C24" s="6" t="s">
        <v>34</v>
      </c>
      <c r="D24" s="7" t="s">
        <v>35</v>
      </c>
      <c r="E24" s="7"/>
    </row>
    <row r="25" customFormat="false" ht="21.75" hidden="false" customHeight="true" outlineLevel="0" collapsed="false">
      <c r="B25" s="15" t="s">
        <v>36</v>
      </c>
      <c r="C25" s="6" t="s">
        <v>37</v>
      </c>
      <c r="D25" s="7" t="s">
        <v>38</v>
      </c>
      <c r="E25" s="7"/>
    </row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20">
    <mergeCell ref="B2:E3"/>
    <mergeCell ref="B4:E4"/>
    <mergeCell ref="C6:E6"/>
    <mergeCell ref="C7:E7"/>
    <mergeCell ref="C8:E8"/>
    <mergeCell ref="C9:E9"/>
    <mergeCell ref="C10:E10"/>
    <mergeCell ref="C11:E11"/>
    <mergeCell ref="C12:E12"/>
    <mergeCell ref="B14:E14"/>
    <mergeCell ref="C15:E15"/>
    <mergeCell ref="C16:E16"/>
    <mergeCell ref="C17:E17"/>
    <mergeCell ref="C18:E18"/>
    <mergeCell ref="C19:E19"/>
    <mergeCell ref="B21:E21"/>
    <mergeCell ref="D22:E22"/>
    <mergeCell ref="D23:E23"/>
    <mergeCell ref="D24:E24"/>
    <mergeCell ref="D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B1" s="16" t="s">
        <v>39</v>
      </c>
      <c r="C1" s="16"/>
      <c r="D1" s="16"/>
      <c r="E1" s="16"/>
      <c r="F1" s="16"/>
      <c r="G1" s="16"/>
      <c r="H1" s="16"/>
    </row>
    <row r="2" customFormat="false" ht="21.75" hidden="false" customHeight="true" outlineLevel="0" collapsed="false">
      <c r="B2" s="17" t="s">
        <v>40</v>
      </c>
      <c r="C2" s="17" t="s">
        <v>41</v>
      </c>
      <c r="D2" s="17" t="s">
        <v>42</v>
      </c>
      <c r="E2" s="17" t="s">
        <v>43</v>
      </c>
      <c r="F2" s="17" t="s">
        <v>44</v>
      </c>
      <c r="G2" s="17" t="s">
        <v>45</v>
      </c>
      <c r="H2" s="17" t="s">
        <v>46</v>
      </c>
      <c r="I2" s="17" t="s">
        <v>47</v>
      </c>
    </row>
    <row r="3" customFormat="false" ht="21.75" hidden="false" customHeight="true" outlineLevel="0" collapsed="false">
      <c r="B3" s="18" t="s">
        <v>48</v>
      </c>
      <c r="C3" s="19" t="n">
        <v>17</v>
      </c>
      <c r="D3" s="19" t="n">
        <v>0</v>
      </c>
      <c r="E3" s="19" t="n">
        <v>0</v>
      </c>
      <c r="F3" s="19" t="n">
        <v>0</v>
      </c>
      <c r="G3" s="19" t="n">
        <v>0</v>
      </c>
      <c r="H3" s="19" t="n">
        <f aca="false">C3-D3-E3-F3-G3</f>
        <v>17</v>
      </c>
      <c r="I3" s="20" t="n">
        <f aca="false">IFERROR(D3/C3,0)</f>
        <v>0</v>
      </c>
    </row>
    <row r="4" customFormat="false" ht="21.75" hidden="false" customHeight="true" outlineLevel="0" collapsed="false">
      <c r="B4" s="21" t="s">
        <v>49</v>
      </c>
      <c r="C4" s="19" t="n">
        <v>14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f aca="false">C4-D4-E4-F4-G4</f>
        <v>14</v>
      </c>
      <c r="I4" s="20" t="n">
        <f aca="false">IFERROR(D4/C4,0)</f>
        <v>0</v>
      </c>
    </row>
    <row r="5" customFormat="false" ht="21.75" hidden="false" customHeight="true" outlineLevel="0" collapsed="false">
      <c r="B5" s="22" t="s">
        <v>50</v>
      </c>
      <c r="C5" s="19" t="n">
        <v>12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f aca="false">C5-D5-E5-F5-G5</f>
        <v>12</v>
      </c>
      <c r="I5" s="20" t="n">
        <f aca="false">IFERROR(D5/C5,0)</f>
        <v>0</v>
      </c>
    </row>
    <row r="6" customFormat="false" ht="21.75" hidden="false" customHeight="true" outlineLevel="0" collapsed="false">
      <c r="B6" s="23" t="s">
        <v>51</v>
      </c>
      <c r="C6" s="19" t="n">
        <v>12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f aca="false">C6-D6-E6-F6-G6</f>
        <v>12</v>
      </c>
      <c r="I6" s="20" t="n">
        <f aca="false">IFERROR(D6/C6,0)</f>
        <v>0</v>
      </c>
    </row>
    <row r="7" customFormat="false" ht="21.75" hidden="false" customHeight="true" outlineLevel="0" collapsed="false">
      <c r="B7" s="3" t="s">
        <v>52</v>
      </c>
      <c r="C7" s="24" t="n">
        <f aca="false">SUM(C3:C6)</f>
        <v>55</v>
      </c>
      <c r="D7" s="24" t="n">
        <f aca="false">SUM(D3:D6)</f>
        <v>0</v>
      </c>
      <c r="E7" s="24" t="n">
        <f aca="false">SUM(E3:E6)</f>
        <v>0</v>
      </c>
      <c r="F7" s="24" t="n">
        <f aca="false">SUM(F3:F6)</f>
        <v>0</v>
      </c>
      <c r="G7" s="24" t="n">
        <f aca="false">SUM(G3:G6)</f>
        <v>0</v>
      </c>
      <c r="H7" s="24" t="n">
        <f aca="false">SUM(H3:H6)</f>
        <v>55</v>
      </c>
      <c r="I7" s="25" t="n">
        <f aca="false">SUM(I3:I6)</f>
        <v>0</v>
      </c>
    </row>
    <row r="9" customFormat="false" ht="36" hidden="false" customHeight="true" outlineLevel="0" collapsed="false">
      <c r="B9" s="26" t="s">
        <v>53</v>
      </c>
      <c r="C9" s="26"/>
      <c r="D9" s="26"/>
      <c r="E9" s="26"/>
      <c r="F9" s="26"/>
      <c r="G9" s="26"/>
      <c r="H9" s="26"/>
    </row>
  </sheetData>
  <mergeCells count="2">
    <mergeCell ref="B1:H1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21.75" hidden="false" customHeight="true" outlineLevel="0" collapsed="false">
      <c r="A2" s="28" t="s">
        <v>55</v>
      </c>
      <c r="B2" s="28" t="s">
        <v>56</v>
      </c>
      <c r="C2" s="28" t="s">
        <v>57</v>
      </c>
      <c r="D2" s="28" t="s">
        <v>58</v>
      </c>
      <c r="E2" s="28" t="s">
        <v>59</v>
      </c>
      <c r="F2" s="28" t="s">
        <v>60</v>
      </c>
      <c r="G2" s="28" t="s">
        <v>61</v>
      </c>
      <c r="H2" s="28" t="s">
        <v>62</v>
      </c>
      <c r="I2" s="28" t="s">
        <v>63</v>
      </c>
      <c r="J2" s="28" t="s">
        <v>64</v>
      </c>
    </row>
    <row r="3" customFormat="false" ht="55.5" hidden="false" customHeight="true" outlineLevel="0" collapsed="false">
      <c r="A3" s="29" t="s">
        <v>65</v>
      </c>
      <c r="B3" s="19" t="s">
        <v>66</v>
      </c>
      <c r="C3" s="30" t="s">
        <v>67</v>
      </c>
      <c r="D3" s="30" t="s">
        <v>68</v>
      </c>
      <c r="E3" s="30" t="s">
        <v>69</v>
      </c>
      <c r="F3" s="30" t="s">
        <v>70</v>
      </c>
      <c r="G3" s="30" t="s">
        <v>71</v>
      </c>
      <c r="H3" s="30"/>
      <c r="I3" s="19" t="s">
        <v>72</v>
      </c>
      <c r="J3" s="30"/>
    </row>
    <row r="4" customFormat="false" ht="55.5" hidden="false" customHeight="true" outlineLevel="0" collapsed="false">
      <c r="A4" s="31" t="s">
        <v>73</v>
      </c>
      <c r="B4" s="32" t="s">
        <v>66</v>
      </c>
      <c r="C4" s="33" t="s">
        <v>74</v>
      </c>
      <c r="D4" s="33" t="s">
        <v>75</v>
      </c>
      <c r="E4" s="33" t="s">
        <v>76</v>
      </c>
      <c r="F4" s="33" t="s">
        <v>77</v>
      </c>
      <c r="G4" s="33" t="s">
        <v>78</v>
      </c>
      <c r="H4" s="33"/>
      <c r="I4" s="32" t="s">
        <v>72</v>
      </c>
      <c r="J4" s="33"/>
    </row>
    <row r="5" customFormat="false" ht="55.5" hidden="false" customHeight="true" outlineLevel="0" collapsed="false">
      <c r="A5" s="29" t="s">
        <v>79</v>
      </c>
      <c r="B5" s="19" t="s">
        <v>80</v>
      </c>
      <c r="C5" s="30" t="s">
        <v>81</v>
      </c>
      <c r="D5" s="30" t="s">
        <v>82</v>
      </c>
      <c r="E5" s="30" t="s">
        <v>83</v>
      </c>
      <c r="F5" s="30" t="s">
        <v>84</v>
      </c>
      <c r="G5" s="30" t="s">
        <v>85</v>
      </c>
      <c r="H5" s="30"/>
      <c r="I5" s="19" t="s">
        <v>72</v>
      </c>
      <c r="J5" s="30"/>
    </row>
    <row r="6" customFormat="false" ht="55.5" hidden="false" customHeight="true" outlineLevel="0" collapsed="false">
      <c r="A6" s="31" t="s">
        <v>86</v>
      </c>
      <c r="B6" s="32" t="s">
        <v>66</v>
      </c>
      <c r="C6" s="33" t="s">
        <v>87</v>
      </c>
      <c r="D6" s="33" t="s">
        <v>88</v>
      </c>
      <c r="E6" s="33" t="s">
        <v>83</v>
      </c>
      <c r="F6" s="33" t="s">
        <v>89</v>
      </c>
      <c r="G6" s="33" t="s">
        <v>90</v>
      </c>
      <c r="H6" s="33"/>
      <c r="I6" s="32" t="s">
        <v>72</v>
      </c>
      <c r="J6" s="33"/>
    </row>
    <row r="7" customFormat="false" ht="55.5" hidden="false" customHeight="true" outlineLevel="0" collapsed="false">
      <c r="A7" s="29" t="s">
        <v>91</v>
      </c>
      <c r="B7" s="19" t="s">
        <v>80</v>
      </c>
      <c r="C7" s="30" t="s">
        <v>87</v>
      </c>
      <c r="D7" s="30" t="s">
        <v>92</v>
      </c>
      <c r="E7" s="30" t="s">
        <v>93</v>
      </c>
      <c r="F7" s="30" t="s">
        <v>94</v>
      </c>
      <c r="G7" s="30" t="s">
        <v>95</v>
      </c>
      <c r="H7" s="30"/>
      <c r="I7" s="19" t="s">
        <v>72</v>
      </c>
      <c r="J7" s="30"/>
    </row>
    <row r="8" customFormat="false" ht="55.5" hidden="false" customHeight="true" outlineLevel="0" collapsed="false">
      <c r="A8" s="31" t="s">
        <v>96</v>
      </c>
      <c r="B8" s="32" t="s">
        <v>80</v>
      </c>
      <c r="C8" s="33" t="s">
        <v>87</v>
      </c>
      <c r="D8" s="33" t="s">
        <v>97</v>
      </c>
      <c r="E8" s="33" t="s">
        <v>98</v>
      </c>
      <c r="F8" s="33" t="s">
        <v>99</v>
      </c>
      <c r="G8" s="33" t="s">
        <v>100</v>
      </c>
      <c r="H8" s="33"/>
      <c r="I8" s="32" t="s">
        <v>72</v>
      </c>
      <c r="J8" s="33"/>
    </row>
    <row r="9" customFormat="false" ht="55.5" hidden="false" customHeight="true" outlineLevel="0" collapsed="false">
      <c r="A9" s="29" t="s">
        <v>101</v>
      </c>
      <c r="B9" s="19" t="s">
        <v>80</v>
      </c>
      <c r="C9" s="30" t="s">
        <v>87</v>
      </c>
      <c r="D9" s="30" t="s">
        <v>102</v>
      </c>
      <c r="E9" s="30" t="s">
        <v>103</v>
      </c>
      <c r="F9" s="30" t="s">
        <v>104</v>
      </c>
      <c r="G9" s="30" t="s">
        <v>105</v>
      </c>
      <c r="H9" s="30"/>
      <c r="I9" s="19" t="s">
        <v>72</v>
      </c>
      <c r="J9" s="30"/>
    </row>
    <row r="10" customFormat="false" ht="55.5" hidden="false" customHeight="true" outlineLevel="0" collapsed="false">
      <c r="A10" s="31" t="s">
        <v>106</v>
      </c>
      <c r="B10" s="32" t="s">
        <v>66</v>
      </c>
      <c r="C10" s="33" t="s">
        <v>107</v>
      </c>
      <c r="D10" s="33" t="s">
        <v>108</v>
      </c>
      <c r="E10" s="33" t="s">
        <v>109</v>
      </c>
      <c r="F10" s="33" t="s">
        <v>110</v>
      </c>
      <c r="G10" s="33" t="s">
        <v>111</v>
      </c>
      <c r="H10" s="33"/>
      <c r="I10" s="32" t="s">
        <v>72</v>
      </c>
      <c r="J10" s="33"/>
    </row>
    <row r="11" customFormat="false" ht="55.5" hidden="false" customHeight="true" outlineLevel="0" collapsed="false">
      <c r="A11" s="29" t="s">
        <v>112</v>
      </c>
      <c r="B11" s="19" t="s">
        <v>80</v>
      </c>
      <c r="C11" s="30" t="s">
        <v>107</v>
      </c>
      <c r="D11" s="30" t="s">
        <v>113</v>
      </c>
      <c r="E11" s="30" t="s">
        <v>114</v>
      </c>
      <c r="F11" s="30" t="s">
        <v>115</v>
      </c>
      <c r="G11" s="30" t="s">
        <v>116</v>
      </c>
      <c r="H11" s="30"/>
      <c r="I11" s="19" t="s">
        <v>72</v>
      </c>
      <c r="J11" s="30"/>
    </row>
    <row r="12" customFormat="false" ht="55.5" hidden="false" customHeight="true" outlineLevel="0" collapsed="false">
      <c r="A12" s="31" t="s">
        <v>117</v>
      </c>
      <c r="B12" s="32" t="s">
        <v>80</v>
      </c>
      <c r="C12" s="33" t="s">
        <v>107</v>
      </c>
      <c r="D12" s="33" t="s">
        <v>118</v>
      </c>
      <c r="E12" s="33" t="s">
        <v>114</v>
      </c>
      <c r="F12" s="33" t="s">
        <v>119</v>
      </c>
      <c r="G12" s="33" t="s">
        <v>120</v>
      </c>
      <c r="H12" s="33"/>
      <c r="I12" s="32" t="s">
        <v>72</v>
      </c>
      <c r="J12" s="33"/>
    </row>
    <row r="13" customFormat="false" ht="55.5" hidden="false" customHeight="true" outlineLevel="0" collapsed="false">
      <c r="A13" s="29" t="s">
        <v>121</v>
      </c>
      <c r="B13" s="19" t="s">
        <v>80</v>
      </c>
      <c r="C13" s="30" t="s">
        <v>107</v>
      </c>
      <c r="D13" s="30" t="s">
        <v>122</v>
      </c>
      <c r="E13" s="30" t="s">
        <v>123</v>
      </c>
      <c r="F13" s="30" t="s">
        <v>124</v>
      </c>
      <c r="G13" s="30" t="s">
        <v>125</v>
      </c>
      <c r="H13" s="30"/>
      <c r="I13" s="19" t="s">
        <v>72</v>
      </c>
      <c r="J13" s="30"/>
    </row>
    <row r="14" customFormat="false" ht="55.5" hidden="false" customHeight="true" outlineLevel="0" collapsed="false">
      <c r="A14" s="31" t="s">
        <v>126</v>
      </c>
      <c r="B14" s="32" t="s">
        <v>80</v>
      </c>
      <c r="C14" s="33" t="s">
        <v>127</v>
      </c>
      <c r="D14" s="33" t="s">
        <v>128</v>
      </c>
      <c r="E14" s="33" t="s">
        <v>129</v>
      </c>
      <c r="F14" s="33" t="s">
        <v>130</v>
      </c>
      <c r="G14" s="33" t="s">
        <v>131</v>
      </c>
      <c r="H14" s="33"/>
      <c r="I14" s="32" t="s">
        <v>72</v>
      </c>
      <c r="J14" s="33"/>
    </row>
    <row r="15" customFormat="false" ht="55.5" hidden="false" customHeight="true" outlineLevel="0" collapsed="false">
      <c r="A15" s="29" t="s">
        <v>132</v>
      </c>
      <c r="B15" s="19" t="s">
        <v>80</v>
      </c>
      <c r="C15" s="30" t="s">
        <v>133</v>
      </c>
      <c r="D15" s="30" t="s">
        <v>134</v>
      </c>
      <c r="E15" s="30" t="s">
        <v>135</v>
      </c>
      <c r="F15" s="30" t="s">
        <v>136</v>
      </c>
      <c r="G15" s="30" t="s">
        <v>137</v>
      </c>
      <c r="H15" s="30"/>
      <c r="I15" s="19" t="s">
        <v>72</v>
      </c>
      <c r="J15" s="30"/>
    </row>
    <row r="16" customFormat="false" ht="55.5" hidden="false" customHeight="true" outlineLevel="0" collapsed="false">
      <c r="A16" s="31" t="s">
        <v>138</v>
      </c>
      <c r="B16" s="32" t="s">
        <v>66</v>
      </c>
      <c r="C16" s="33" t="s">
        <v>139</v>
      </c>
      <c r="D16" s="33" t="s">
        <v>140</v>
      </c>
      <c r="E16" s="33" t="s">
        <v>141</v>
      </c>
      <c r="F16" s="33" t="s">
        <v>142</v>
      </c>
      <c r="G16" s="33" t="s">
        <v>143</v>
      </c>
      <c r="H16" s="33"/>
      <c r="I16" s="32" t="s">
        <v>72</v>
      </c>
      <c r="J16" s="33"/>
    </row>
    <row r="17" customFormat="false" ht="55.5" hidden="false" customHeight="true" outlineLevel="0" collapsed="false">
      <c r="A17" s="29" t="s">
        <v>144</v>
      </c>
      <c r="B17" s="19" t="s">
        <v>80</v>
      </c>
      <c r="C17" s="30" t="s">
        <v>145</v>
      </c>
      <c r="D17" s="30" t="s">
        <v>146</v>
      </c>
      <c r="E17" s="30" t="s">
        <v>147</v>
      </c>
      <c r="F17" s="30" t="s">
        <v>148</v>
      </c>
      <c r="G17" s="30" t="s">
        <v>149</v>
      </c>
      <c r="H17" s="30"/>
      <c r="I17" s="19" t="s">
        <v>72</v>
      </c>
      <c r="J17" s="30"/>
    </row>
    <row r="18" customFormat="false" ht="55.5" hidden="false" customHeight="true" outlineLevel="0" collapsed="false">
      <c r="A18" s="31" t="s">
        <v>150</v>
      </c>
      <c r="B18" s="32" t="s">
        <v>80</v>
      </c>
      <c r="C18" s="33" t="s">
        <v>151</v>
      </c>
      <c r="D18" s="33" t="s">
        <v>152</v>
      </c>
      <c r="E18" s="33" t="s">
        <v>147</v>
      </c>
      <c r="F18" s="33" t="s">
        <v>153</v>
      </c>
      <c r="G18" s="33" t="s">
        <v>154</v>
      </c>
      <c r="H18" s="33"/>
      <c r="I18" s="32" t="s">
        <v>72</v>
      </c>
      <c r="J18" s="33"/>
    </row>
    <row r="19" customFormat="false" ht="55.5" hidden="false" customHeight="true" outlineLevel="0" collapsed="false">
      <c r="A19" s="29" t="s">
        <v>155</v>
      </c>
      <c r="B19" s="19" t="s">
        <v>80</v>
      </c>
      <c r="C19" s="30" t="s">
        <v>156</v>
      </c>
      <c r="D19" s="30" t="s">
        <v>157</v>
      </c>
      <c r="E19" s="30" t="s">
        <v>158</v>
      </c>
      <c r="F19" s="30" t="s">
        <v>159</v>
      </c>
      <c r="G19" s="30" t="s">
        <v>160</v>
      </c>
      <c r="H19" s="30"/>
      <c r="I19" s="19" t="s">
        <v>72</v>
      </c>
      <c r="J19" s="30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34" t="s">
        <v>161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21.75" hidden="false" customHeight="true" outlineLevel="0" collapsed="false">
      <c r="A2" s="35" t="s">
        <v>55</v>
      </c>
      <c r="B2" s="35" t="s">
        <v>56</v>
      </c>
      <c r="C2" s="35" t="s">
        <v>57</v>
      </c>
      <c r="D2" s="35" t="s">
        <v>58</v>
      </c>
      <c r="E2" s="35" t="s">
        <v>59</v>
      </c>
      <c r="F2" s="35" t="s">
        <v>60</v>
      </c>
      <c r="G2" s="35" t="s">
        <v>61</v>
      </c>
      <c r="H2" s="35" t="s">
        <v>62</v>
      </c>
      <c r="I2" s="35" t="s">
        <v>63</v>
      </c>
      <c r="J2" s="35" t="s">
        <v>64</v>
      </c>
    </row>
    <row r="3" customFormat="false" ht="55.5" hidden="false" customHeight="true" outlineLevel="0" collapsed="false">
      <c r="A3" s="29" t="s">
        <v>162</v>
      </c>
      <c r="B3" s="19" t="s">
        <v>66</v>
      </c>
      <c r="C3" s="30" t="s">
        <v>163</v>
      </c>
      <c r="D3" s="30" t="s">
        <v>164</v>
      </c>
      <c r="E3" s="30" t="s">
        <v>165</v>
      </c>
      <c r="F3" s="30" t="s">
        <v>166</v>
      </c>
      <c r="G3" s="30" t="s">
        <v>167</v>
      </c>
      <c r="H3" s="30"/>
      <c r="I3" s="19" t="s">
        <v>72</v>
      </c>
      <c r="J3" s="30"/>
    </row>
    <row r="4" customFormat="false" ht="55.5" hidden="false" customHeight="true" outlineLevel="0" collapsed="false">
      <c r="A4" s="31" t="s">
        <v>168</v>
      </c>
      <c r="B4" s="32" t="s">
        <v>66</v>
      </c>
      <c r="C4" s="33" t="s">
        <v>169</v>
      </c>
      <c r="D4" s="33" t="s">
        <v>170</v>
      </c>
      <c r="E4" s="33" t="s">
        <v>171</v>
      </c>
      <c r="F4" s="33" t="s">
        <v>172</v>
      </c>
      <c r="G4" s="33" t="s">
        <v>173</v>
      </c>
      <c r="H4" s="33"/>
      <c r="I4" s="32" t="s">
        <v>72</v>
      </c>
      <c r="J4" s="33"/>
    </row>
    <row r="5" customFormat="false" ht="55.5" hidden="false" customHeight="true" outlineLevel="0" collapsed="false">
      <c r="A5" s="29" t="s">
        <v>174</v>
      </c>
      <c r="B5" s="19" t="s">
        <v>66</v>
      </c>
      <c r="C5" s="30" t="s">
        <v>175</v>
      </c>
      <c r="D5" s="30" t="s">
        <v>176</v>
      </c>
      <c r="E5" s="30" t="s">
        <v>177</v>
      </c>
      <c r="F5" s="30" t="s">
        <v>178</v>
      </c>
      <c r="G5" s="30" t="s">
        <v>179</v>
      </c>
      <c r="H5" s="30"/>
      <c r="I5" s="19" t="s">
        <v>72</v>
      </c>
      <c r="J5" s="30"/>
    </row>
    <row r="6" customFormat="false" ht="55.5" hidden="false" customHeight="true" outlineLevel="0" collapsed="false">
      <c r="A6" s="31" t="s">
        <v>180</v>
      </c>
      <c r="B6" s="32" t="s">
        <v>66</v>
      </c>
      <c r="C6" s="33" t="s">
        <v>181</v>
      </c>
      <c r="D6" s="33" t="s">
        <v>182</v>
      </c>
      <c r="E6" s="33" t="s">
        <v>183</v>
      </c>
      <c r="F6" s="33" t="s">
        <v>184</v>
      </c>
      <c r="G6" s="33" t="s">
        <v>185</v>
      </c>
      <c r="H6" s="33"/>
      <c r="I6" s="32" t="s">
        <v>72</v>
      </c>
      <c r="J6" s="33"/>
    </row>
    <row r="7" customFormat="false" ht="55.5" hidden="false" customHeight="true" outlineLevel="0" collapsed="false">
      <c r="A7" s="29" t="s">
        <v>186</v>
      </c>
      <c r="B7" s="19" t="s">
        <v>80</v>
      </c>
      <c r="C7" s="30" t="s">
        <v>187</v>
      </c>
      <c r="D7" s="30" t="s">
        <v>188</v>
      </c>
      <c r="E7" s="30" t="s">
        <v>189</v>
      </c>
      <c r="F7" s="30" t="s">
        <v>190</v>
      </c>
      <c r="G7" s="30" t="s">
        <v>191</v>
      </c>
      <c r="H7" s="30"/>
      <c r="I7" s="19" t="s">
        <v>72</v>
      </c>
      <c r="J7" s="30"/>
    </row>
    <row r="8" customFormat="false" ht="55.5" hidden="false" customHeight="true" outlineLevel="0" collapsed="false">
      <c r="A8" s="31" t="s">
        <v>192</v>
      </c>
      <c r="B8" s="32" t="s">
        <v>80</v>
      </c>
      <c r="C8" s="33" t="s">
        <v>193</v>
      </c>
      <c r="D8" s="33" t="s">
        <v>194</v>
      </c>
      <c r="E8" s="33" t="s">
        <v>195</v>
      </c>
      <c r="F8" s="33" t="s">
        <v>196</v>
      </c>
      <c r="G8" s="33" t="s">
        <v>197</v>
      </c>
      <c r="H8" s="33"/>
      <c r="I8" s="32" t="s">
        <v>72</v>
      </c>
      <c r="J8" s="33"/>
    </row>
    <row r="9" customFormat="false" ht="55.5" hidden="false" customHeight="true" outlineLevel="0" collapsed="false">
      <c r="A9" s="29" t="s">
        <v>198</v>
      </c>
      <c r="B9" s="19" t="s">
        <v>80</v>
      </c>
      <c r="C9" s="30" t="s">
        <v>199</v>
      </c>
      <c r="D9" s="30" t="s">
        <v>200</v>
      </c>
      <c r="E9" s="30" t="s">
        <v>201</v>
      </c>
      <c r="F9" s="30" t="s">
        <v>202</v>
      </c>
      <c r="G9" s="30" t="s">
        <v>203</v>
      </c>
      <c r="H9" s="30"/>
      <c r="I9" s="19" t="s">
        <v>72</v>
      </c>
      <c r="J9" s="30"/>
    </row>
    <row r="10" customFormat="false" ht="55.5" hidden="false" customHeight="true" outlineLevel="0" collapsed="false">
      <c r="A10" s="31" t="s">
        <v>204</v>
      </c>
      <c r="B10" s="32" t="s">
        <v>66</v>
      </c>
      <c r="C10" s="33" t="s">
        <v>205</v>
      </c>
      <c r="D10" s="33" t="s">
        <v>206</v>
      </c>
      <c r="E10" s="33" t="s">
        <v>207</v>
      </c>
      <c r="F10" s="33" t="s">
        <v>208</v>
      </c>
      <c r="G10" s="33" t="s">
        <v>209</v>
      </c>
      <c r="H10" s="33"/>
      <c r="I10" s="32" t="s">
        <v>72</v>
      </c>
      <c r="J10" s="33"/>
    </row>
    <row r="11" customFormat="false" ht="55.5" hidden="false" customHeight="true" outlineLevel="0" collapsed="false">
      <c r="A11" s="29" t="s">
        <v>210</v>
      </c>
      <c r="B11" s="19" t="s">
        <v>66</v>
      </c>
      <c r="C11" s="30" t="s">
        <v>211</v>
      </c>
      <c r="D11" s="30" t="s">
        <v>212</v>
      </c>
      <c r="E11" s="30" t="s">
        <v>213</v>
      </c>
      <c r="F11" s="30" t="s">
        <v>214</v>
      </c>
      <c r="G11" s="30" t="s">
        <v>215</v>
      </c>
      <c r="H11" s="30"/>
      <c r="I11" s="19" t="s">
        <v>72</v>
      </c>
      <c r="J11" s="30"/>
    </row>
    <row r="12" customFormat="false" ht="55.5" hidden="false" customHeight="true" outlineLevel="0" collapsed="false">
      <c r="A12" s="31" t="s">
        <v>216</v>
      </c>
      <c r="B12" s="32" t="s">
        <v>66</v>
      </c>
      <c r="C12" s="33" t="s">
        <v>217</v>
      </c>
      <c r="D12" s="33" t="s">
        <v>218</v>
      </c>
      <c r="E12" s="33" t="s">
        <v>219</v>
      </c>
      <c r="F12" s="33" t="s">
        <v>220</v>
      </c>
      <c r="G12" s="33" t="s">
        <v>221</v>
      </c>
      <c r="H12" s="33"/>
      <c r="I12" s="32" t="s">
        <v>72</v>
      </c>
      <c r="J12" s="33"/>
    </row>
    <row r="13" customFormat="false" ht="55.5" hidden="false" customHeight="true" outlineLevel="0" collapsed="false">
      <c r="A13" s="29" t="s">
        <v>222</v>
      </c>
      <c r="B13" s="19" t="s">
        <v>80</v>
      </c>
      <c r="C13" s="30" t="s">
        <v>223</v>
      </c>
      <c r="D13" s="30" t="s">
        <v>224</v>
      </c>
      <c r="E13" s="30" t="s">
        <v>225</v>
      </c>
      <c r="F13" s="30" t="s">
        <v>226</v>
      </c>
      <c r="G13" s="30" t="s">
        <v>227</v>
      </c>
      <c r="H13" s="30"/>
      <c r="I13" s="19" t="s">
        <v>72</v>
      </c>
      <c r="J13" s="30"/>
    </row>
    <row r="14" customFormat="false" ht="55.5" hidden="false" customHeight="true" outlineLevel="0" collapsed="false">
      <c r="A14" s="31" t="s">
        <v>228</v>
      </c>
      <c r="B14" s="32" t="s">
        <v>80</v>
      </c>
      <c r="C14" s="33" t="s">
        <v>229</v>
      </c>
      <c r="D14" s="33" t="s">
        <v>230</v>
      </c>
      <c r="E14" s="33" t="s">
        <v>231</v>
      </c>
      <c r="F14" s="33" t="s">
        <v>232</v>
      </c>
      <c r="G14" s="33" t="s">
        <v>233</v>
      </c>
      <c r="H14" s="33"/>
      <c r="I14" s="32" t="s">
        <v>72</v>
      </c>
      <c r="J14" s="33"/>
    </row>
    <row r="15" customFormat="false" ht="55.5" hidden="false" customHeight="true" outlineLevel="0" collapsed="false">
      <c r="A15" s="29" t="s">
        <v>234</v>
      </c>
      <c r="B15" s="19" t="s">
        <v>80</v>
      </c>
      <c r="C15" s="30" t="s">
        <v>235</v>
      </c>
      <c r="D15" s="30" t="s">
        <v>236</v>
      </c>
      <c r="E15" s="30" t="s">
        <v>237</v>
      </c>
      <c r="F15" s="30" t="s">
        <v>238</v>
      </c>
      <c r="G15" s="30" t="s">
        <v>239</v>
      </c>
      <c r="H15" s="30"/>
      <c r="I15" s="19" t="s">
        <v>72</v>
      </c>
      <c r="J15" s="30"/>
    </row>
    <row r="16" customFormat="false" ht="55.5" hidden="false" customHeight="true" outlineLevel="0" collapsed="false">
      <c r="A16" s="31" t="s">
        <v>240</v>
      </c>
      <c r="B16" s="32" t="s">
        <v>80</v>
      </c>
      <c r="C16" s="33" t="s">
        <v>241</v>
      </c>
      <c r="D16" s="33" t="s">
        <v>242</v>
      </c>
      <c r="E16" s="33" t="s">
        <v>243</v>
      </c>
      <c r="F16" s="33" t="s">
        <v>244</v>
      </c>
      <c r="G16" s="33" t="s">
        <v>245</v>
      </c>
      <c r="H16" s="33"/>
      <c r="I16" s="32" t="s">
        <v>72</v>
      </c>
      <c r="J16" s="33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36" t="s">
        <v>246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21.75" hidden="false" customHeight="true" outlineLevel="0" collapsed="false">
      <c r="A2" s="37" t="s">
        <v>55</v>
      </c>
      <c r="B2" s="37" t="s">
        <v>56</v>
      </c>
      <c r="C2" s="37" t="s">
        <v>57</v>
      </c>
      <c r="D2" s="37" t="s">
        <v>58</v>
      </c>
      <c r="E2" s="37" t="s">
        <v>59</v>
      </c>
      <c r="F2" s="37" t="s">
        <v>60</v>
      </c>
      <c r="G2" s="37" t="s">
        <v>61</v>
      </c>
      <c r="H2" s="37" t="s">
        <v>62</v>
      </c>
      <c r="I2" s="37" t="s">
        <v>63</v>
      </c>
      <c r="J2" s="37" t="s">
        <v>64</v>
      </c>
    </row>
    <row r="3" customFormat="false" ht="55.5" hidden="false" customHeight="true" outlineLevel="0" collapsed="false">
      <c r="A3" s="29" t="s">
        <v>247</v>
      </c>
      <c r="B3" s="19" t="s">
        <v>66</v>
      </c>
      <c r="C3" s="30" t="s">
        <v>248</v>
      </c>
      <c r="D3" s="30" t="s">
        <v>249</v>
      </c>
      <c r="E3" s="30" t="s">
        <v>250</v>
      </c>
      <c r="F3" s="30" t="s">
        <v>251</v>
      </c>
      <c r="G3" s="30" t="s">
        <v>252</v>
      </c>
      <c r="H3" s="30"/>
      <c r="I3" s="19" t="s">
        <v>72</v>
      </c>
      <c r="J3" s="30"/>
    </row>
    <row r="4" customFormat="false" ht="55.5" hidden="false" customHeight="true" outlineLevel="0" collapsed="false">
      <c r="A4" s="31" t="s">
        <v>253</v>
      </c>
      <c r="B4" s="32" t="s">
        <v>80</v>
      </c>
      <c r="C4" s="33" t="s">
        <v>254</v>
      </c>
      <c r="D4" s="33" t="s">
        <v>255</v>
      </c>
      <c r="E4" s="33" t="s">
        <v>256</v>
      </c>
      <c r="F4" s="33" t="s">
        <v>257</v>
      </c>
      <c r="G4" s="33" t="s">
        <v>258</v>
      </c>
      <c r="H4" s="33"/>
      <c r="I4" s="32" t="s">
        <v>72</v>
      </c>
      <c r="J4" s="33"/>
    </row>
    <row r="5" customFormat="false" ht="55.5" hidden="false" customHeight="true" outlineLevel="0" collapsed="false">
      <c r="A5" s="29" t="s">
        <v>259</v>
      </c>
      <c r="B5" s="19" t="s">
        <v>66</v>
      </c>
      <c r="C5" s="30" t="s">
        <v>260</v>
      </c>
      <c r="D5" s="30" t="s">
        <v>261</v>
      </c>
      <c r="E5" s="30" t="s">
        <v>262</v>
      </c>
      <c r="F5" s="30" t="s">
        <v>263</v>
      </c>
      <c r="G5" s="30" t="s">
        <v>264</v>
      </c>
      <c r="H5" s="30"/>
      <c r="I5" s="19" t="s">
        <v>72</v>
      </c>
      <c r="J5" s="30"/>
    </row>
    <row r="6" customFormat="false" ht="55.5" hidden="false" customHeight="true" outlineLevel="0" collapsed="false">
      <c r="A6" s="31" t="s">
        <v>265</v>
      </c>
      <c r="B6" s="32" t="s">
        <v>80</v>
      </c>
      <c r="C6" s="33" t="s">
        <v>266</v>
      </c>
      <c r="D6" s="33" t="s">
        <v>267</v>
      </c>
      <c r="E6" s="33" t="s">
        <v>268</v>
      </c>
      <c r="F6" s="33" t="s">
        <v>269</v>
      </c>
      <c r="G6" s="33" t="s">
        <v>270</v>
      </c>
      <c r="H6" s="33"/>
      <c r="I6" s="32" t="s">
        <v>72</v>
      </c>
      <c r="J6" s="33"/>
    </row>
    <row r="7" customFormat="false" ht="55.5" hidden="false" customHeight="true" outlineLevel="0" collapsed="false">
      <c r="A7" s="29" t="s">
        <v>271</v>
      </c>
      <c r="B7" s="19" t="s">
        <v>80</v>
      </c>
      <c r="C7" s="30" t="s">
        <v>272</v>
      </c>
      <c r="D7" s="30" t="s">
        <v>273</v>
      </c>
      <c r="E7" s="30" t="s">
        <v>274</v>
      </c>
      <c r="F7" s="30" t="s">
        <v>275</v>
      </c>
      <c r="G7" s="30" t="s">
        <v>276</v>
      </c>
      <c r="H7" s="30"/>
      <c r="I7" s="19" t="s">
        <v>72</v>
      </c>
      <c r="J7" s="30"/>
    </row>
    <row r="8" customFormat="false" ht="55.5" hidden="false" customHeight="true" outlineLevel="0" collapsed="false">
      <c r="A8" s="31" t="s">
        <v>277</v>
      </c>
      <c r="B8" s="32" t="s">
        <v>80</v>
      </c>
      <c r="C8" s="33" t="s">
        <v>278</v>
      </c>
      <c r="D8" s="33" t="s">
        <v>279</v>
      </c>
      <c r="E8" s="33" t="s">
        <v>280</v>
      </c>
      <c r="F8" s="33" t="s">
        <v>281</v>
      </c>
      <c r="G8" s="33" t="s">
        <v>282</v>
      </c>
      <c r="H8" s="33"/>
      <c r="I8" s="32" t="s">
        <v>72</v>
      </c>
      <c r="J8" s="33"/>
    </row>
    <row r="9" customFormat="false" ht="55.5" hidden="false" customHeight="true" outlineLevel="0" collapsed="false">
      <c r="A9" s="29" t="s">
        <v>283</v>
      </c>
      <c r="B9" s="19" t="s">
        <v>66</v>
      </c>
      <c r="C9" s="30" t="s">
        <v>284</v>
      </c>
      <c r="D9" s="30" t="s">
        <v>285</v>
      </c>
      <c r="E9" s="30" t="s">
        <v>286</v>
      </c>
      <c r="F9" s="30" t="s">
        <v>287</v>
      </c>
      <c r="G9" s="30" t="s">
        <v>288</v>
      </c>
      <c r="H9" s="30"/>
      <c r="I9" s="19" t="s">
        <v>72</v>
      </c>
      <c r="J9" s="30"/>
    </row>
    <row r="10" customFormat="false" ht="55.5" hidden="false" customHeight="true" outlineLevel="0" collapsed="false">
      <c r="A10" s="31" t="s">
        <v>289</v>
      </c>
      <c r="B10" s="32" t="s">
        <v>66</v>
      </c>
      <c r="C10" s="33" t="s">
        <v>290</v>
      </c>
      <c r="D10" s="33" t="s">
        <v>291</v>
      </c>
      <c r="E10" s="33" t="s">
        <v>292</v>
      </c>
      <c r="F10" s="33" t="s">
        <v>293</v>
      </c>
      <c r="G10" s="33" t="s">
        <v>294</v>
      </c>
      <c r="H10" s="33"/>
      <c r="I10" s="32" t="s">
        <v>72</v>
      </c>
      <c r="J10" s="33"/>
    </row>
    <row r="11" customFormat="false" ht="55.5" hidden="false" customHeight="true" outlineLevel="0" collapsed="false">
      <c r="A11" s="29" t="s">
        <v>295</v>
      </c>
      <c r="B11" s="19" t="s">
        <v>80</v>
      </c>
      <c r="C11" s="30" t="s">
        <v>296</v>
      </c>
      <c r="D11" s="30" t="s">
        <v>297</v>
      </c>
      <c r="E11" s="30" t="s">
        <v>298</v>
      </c>
      <c r="F11" s="30" t="s">
        <v>299</v>
      </c>
      <c r="G11" s="30" t="s">
        <v>300</v>
      </c>
      <c r="H11" s="30"/>
      <c r="I11" s="19" t="s">
        <v>72</v>
      </c>
      <c r="J11" s="30"/>
    </row>
    <row r="12" customFormat="false" ht="55.5" hidden="false" customHeight="true" outlineLevel="0" collapsed="false">
      <c r="A12" s="31" t="s">
        <v>301</v>
      </c>
      <c r="B12" s="32" t="s">
        <v>80</v>
      </c>
      <c r="C12" s="33" t="s">
        <v>302</v>
      </c>
      <c r="D12" s="33" t="s">
        <v>303</v>
      </c>
      <c r="E12" s="33" t="s">
        <v>304</v>
      </c>
      <c r="F12" s="33" t="s">
        <v>305</v>
      </c>
      <c r="G12" s="33" t="s">
        <v>306</v>
      </c>
      <c r="H12" s="33"/>
      <c r="I12" s="32" t="s">
        <v>72</v>
      </c>
      <c r="J12" s="33"/>
    </row>
    <row r="13" customFormat="false" ht="55.5" hidden="false" customHeight="true" outlineLevel="0" collapsed="false">
      <c r="A13" s="29" t="s">
        <v>307</v>
      </c>
      <c r="B13" s="19" t="s">
        <v>80</v>
      </c>
      <c r="C13" s="30" t="s">
        <v>308</v>
      </c>
      <c r="D13" s="30" t="s">
        <v>309</v>
      </c>
      <c r="E13" s="30" t="s">
        <v>310</v>
      </c>
      <c r="F13" s="30" t="s">
        <v>311</v>
      </c>
      <c r="G13" s="30" t="s">
        <v>312</v>
      </c>
      <c r="H13" s="30"/>
      <c r="I13" s="19" t="s">
        <v>72</v>
      </c>
      <c r="J13" s="30"/>
    </row>
    <row r="14" customFormat="false" ht="55.5" hidden="false" customHeight="true" outlineLevel="0" collapsed="false">
      <c r="A14" s="31" t="s">
        <v>313</v>
      </c>
      <c r="B14" s="32" t="s">
        <v>80</v>
      </c>
      <c r="C14" s="33" t="s">
        <v>314</v>
      </c>
      <c r="D14" s="33" t="s">
        <v>315</v>
      </c>
      <c r="E14" s="33" t="s">
        <v>316</v>
      </c>
      <c r="F14" s="33" t="s">
        <v>317</v>
      </c>
      <c r="G14" s="33" t="s">
        <v>318</v>
      </c>
      <c r="H14" s="33"/>
      <c r="I14" s="32" t="s">
        <v>72</v>
      </c>
      <c r="J14" s="33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</row>
    <row r="2" customFormat="false" ht="21.75" hidden="false" customHeight="true" outlineLevel="0" collapsed="false">
      <c r="A2" s="39" t="s">
        <v>55</v>
      </c>
      <c r="B2" s="39" t="s">
        <v>56</v>
      </c>
      <c r="C2" s="39" t="s">
        <v>57</v>
      </c>
      <c r="D2" s="39" t="s">
        <v>58</v>
      </c>
      <c r="E2" s="39" t="s">
        <v>59</v>
      </c>
      <c r="F2" s="39" t="s">
        <v>60</v>
      </c>
      <c r="G2" s="39" t="s">
        <v>61</v>
      </c>
      <c r="H2" s="39" t="s">
        <v>62</v>
      </c>
      <c r="I2" s="39" t="s">
        <v>63</v>
      </c>
      <c r="J2" s="39" t="s">
        <v>64</v>
      </c>
    </row>
    <row r="3" customFormat="false" ht="55.5" hidden="false" customHeight="true" outlineLevel="0" collapsed="false">
      <c r="A3" s="29" t="s">
        <v>320</v>
      </c>
      <c r="B3" s="19" t="s">
        <v>66</v>
      </c>
      <c r="C3" s="30" t="s">
        <v>321</v>
      </c>
      <c r="D3" s="30" t="s">
        <v>322</v>
      </c>
      <c r="E3" s="30" t="s">
        <v>323</v>
      </c>
      <c r="F3" s="30" t="s">
        <v>324</v>
      </c>
      <c r="G3" s="30" t="s">
        <v>325</v>
      </c>
      <c r="H3" s="30"/>
      <c r="I3" s="19" t="s">
        <v>72</v>
      </c>
      <c r="J3" s="30"/>
    </row>
    <row r="4" customFormat="false" ht="55.5" hidden="false" customHeight="true" outlineLevel="0" collapsed="false">
      <c r="A4" s="31" t="s">
        <v>326</v>
      </c>
      <c r="B4" s="32" t="s">
        <v>80</v>
      </c>
      <c r="C4" s="33" t="s">
        <v>327</v>
      </c>
      <c r="D4" s="33" t="s">
        <v>328</v>
      </c>
      <c r="E4" s="33" t="s">
        <v>329</v>
      </c>
      <c r="F4" s="33" t="s">
        <v>330</v>
      </c>
      <c r="G4" s="33" t="s">
        <v>331</v>
      </c>
      <c r="H4" s="33"/>
      <c r="I4" s="32" t="s">
        <v>72</v>
      </c>
      <c r="J4" s="33"/>
    </row>
    <row r="5" customFormat="false" ht="55.5" hidden="false" customHeight="true" outlineLevel="0" collapsed="false">
      <c r="A5" s="29" t="s">
        <v>332</v>
      </c>
      <c r="B5" s="19" t="s">
        <v>66</v>
      </c>
      <c r="C5" s="30" t="s">
        <v>333</v>
      </c>
      <c r="D5" s="30" t="s">
        <v>334</v>
      </c>
      <c r="E5" s="30" t="s">
        <v>335</v>
      </c>
      <c r="F5" s="30" t="s">
        <v>336</v>
      </c>
      <c r="G5" s="30" t="s">
        <v>337</v>
      </c>
      <c r="H5" s="30"/>
      <c r="I5" s="19" t="s">
        <v>72</v>
      </c>
      <c r="J5" s="30"/>
    </row>
    <row r="6" customFormat="false" ht="55.5" hidden="false" customHeight="true" outlineLevel="0" collapsed="false">
      <c r="A6" s="31" t="s">
        <v>338</v>
      </c>
      <c r="B6" s="32" t="s">
        <v>66</v>
      </c>
      <c r="C6" s="33" t="s">
        <v>339</v>
      </c>
      <c r="D6" s="33" t="s">
        <v>340</v>
      </c>
      <c r="E6" s="33" t="s">
        <v>341</v>
      </c>
      <c r="F6" s="33" t="s">
        <v>342</v>
      </c>
      <c r="G6" s="33" t="s">
        <v>343</v>
      </c>
      <c r="H6" s="33"/>
      <c r="I6" s="32" t="s">
        <v>72</v>
      </c>
      <c r="J6" s="33"/>
    </row>
    <row r="7" customFormat="false" ht="55.5" hidden="false" customHeight="true" outlineLevel="0" collapsed="false">
      <c r="A7" s="29" t="s">
        <v>344</v>
      </c>
      <c r="B7" s="19" t="s">
        <v>66</v>
      </c>
      <c r="C7" s="30" t="s">
        <v>345</v>
      </c>
      <c r="D7" s="30" t="s">
        <v>346</v>
      </c>
      <c r="E7" s="30" t="s">
        <v>347</v>
      </c>
      <c r="F7" s="30" t="s">
        <v>348</v>
      </c>
      <c r="G7" s="30" t="s">
        <v>349</v>
      </c>
      <c r="H7" s="30"/>
      <c r="I7" s="19" t="s">
        <v>72</v>
      </c>
      <c r="J7" s="30"/>
    </row>
    <row r="8" customFormat="false" ht="55.5" hidden="false" customHeight="true" outlineLevel="0" collapsed="false">
      <c r="A8" s="31" t="s">
        <v>350</v>
      </c>
      <c r="B8" s="32" t="s">
        <v>66</v>
      </c>
      <c r="C8" s="33" t="s">
        <v>351</v>
      </c>
      <c r="D8" s="33" t="s">
        <v>352</v>
      </c>
      <c r="E8" s="33" t="s">
        <v>353</v>
      </c>
      <c r="F8" s="33" t="s">
        <v>354</v>
      </c>
      <c r="G8" s="33" t="s">
        <v>355</v>
      </c>
      <c r="H8" s="33"/>
      <c r="I8" s="32" t="s">
        <v>72</v>
      </c>
      <c r="J8" s="33"/>
    </row>
    <row r="9" customFormat="false" ht="55.5" hidden="false" customHeight="true" outlineLevel="0" collapsed="false">
      <c r="A9" s="29" t="s">
        <v>356</v>
      </c>
      <c r="B9" s="19" t="s">
        <v>66</v>
      </c>
      <c r="C9" s="30" t="s">
        <v>357</v>
      </c>
      <c r="D9" s="30" t="s">
        <v>358</v>
      </c>
      <c r="E9" s="30" t="s">
        <v>359</v>
      </c>
      <c r="F9" s="30" t="s">
        <v>360</v>
      </c>
      <c r="G9" s="30" t="s">
        <v>361</v>
      </c>
      <c r="H9" s="30"/>
      <c r="I9" s="19" t="s">
        <v>72</v>
      </c>
      <c r="J9" s="30"/>
    </row>
    <row r="10" customFormat="false" ht="55.5" hidden="false" customHeight="true" outlineLevel="0" collapsed="false">
      <c r="A10" s="31" t="s">
        <v>362</v>
      </c>
      <c r="B10" s="32" t="s">
        <v>80</v>
      </c>
      <c r="C10" s="33" t="s">
        <v>363</v>
      </c>
      <c r="D10" s="33" t="s">
        <v>364</v>
      </c>
      <c r="E10" s="33" t="s">
        <v>83</v>
      </c>
      <c r="F10" s="33" t="s">
        <v>365</v>
      </c>
      <c r="G10" s="33" t="s">
        <v>366</v>
      </c>
      <c r="H10" s="33"/>
      <c r="I10" s="32" t="s">
        <v>72</v>
      </c>
      <c r="J10" s="33"/>
    </row>
    <row r="11" customFormat="false" ht="55.5" hidden="false" customHeight="true" outlineLevel="0" collapsed="false">
      <c r="A11" s="29" t="s">
        <v>367</v>
      </c>
      <c r="B11" s="19" t="s">
        <v>80</v>
      </c>
      <c r="C11" s="30" t="s">
        <v>368</v>
      </c>
      <c r="D11" s="30" t="s">
        <v>369</v>
      </c>
      <c r="E11" s="30" t="s">
        <v>370</v>
      </c>
      <c r="F11" s="30" t="s">
        <v>371</v>
      </c>
      <c r="G11" s="30" t="s">
        <v>372</v>
      </c>
      <c r="H11" s="30"/>
      <c r="I11" s="19" t="s">
        <v>72</v>
      </c>
      <c r="J11" s="30"/>
    </row>
    <row r="12" customFormat="false" ht="55.5" hidden="false" customHeight="true" outlineLevel="0" collapsed="false">
      <c r="A12" s="31" t="s">
        <v>373</v>
      </c>
      <c r="B12" s="32" t="s">
        <v>80</v>
      </c>
      <c r="C12" s="33" t="s">
        <v>374</v>
      </c>
      <c r="D12" s="33" t="s">
        <v>375</v>
      </c>
      <c r="E12" s="33" t="s">
        <v>376</v>
      </c>
      <c r="F12" s="33" t="s">
        <v>377</v>
      </c>
      <c r="G12" s="33" t="s">
        <v>378</v>
      </c>
      <c r="H12" s="33"/>
      <c r="I12" s="32" t="s">
        <v>72</v>
      </c>
      <c r="J12" s="33"/>
    </row>
    <row r="13" customFormat="false" ht="55.5" hidden="false" customHeight="true" outlineLevel="0" collapsed="false">
      <c r="A13" s="29" t="s">
        <v>379</v>
      </c>
      <c r="B13" s="19" t="s">
        <v>80</v>
      </c>
      <c r="C13" s="30" t="s">
        <v>380</v>
      </c>
      <c r="D13" s="30" t="s">
        <v>381</v>
      </c>
      <c r="E13" s="30" t="s">
        <v>382</v>
      </c>
      <c r="F13" s="30" t="s">
        <v>383</v>
      </c>
      <c r="G13" s="30" t="s">
        <v>384</v>
      </c>
      <c r="H13" s="30"/>
      <c r="I13" s="19" t="s">
        <v>72</v>
      </c>
      <c r="J13" s="30"/>
    </row>
    <row r="14" customFormat="false" ht="55.5" hidden="false" customHeight="true" outlineLevel="0" collapsed="false">
      <c r="A14" s="31" t="s">
        <v>385</v>
      </c>
      <c r="B14" s="32" t="s">
        <v>80</v>
      </c>
      <c r="C14" s="33" t="s">
        <v>386</v>
      </c>
      <c r="D14" s="33" t="s">
        <v>387</v>
      </c>
      <c r="E14" s="33" t="s">
        <v>388</v>
      </c>
      <c r="F14" s="33" t="s">
        <v>389</v>
      </c>
      <c r="G14" s="33" t="s">
        <v>390</v>
      </c>
      <c r="H14" s="33"/>
      <c r="I14" s="32" t="s">
        <v>72</v>
      </c>
      <c r="J14" s="33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2026-05-11T02:53:49Z</dcterms:created>
  <dc:creator>openpyxl</dc:creator>
  <dc:description/>
  <dc:language>en-US</dc:language>
  <cp:lastModifiedBy/>
  <dcterms:modified xsi:type="dcterms:W3CDTF">2026-05-11T02:53:49Z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